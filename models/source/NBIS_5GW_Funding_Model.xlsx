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xr:revisionPtr revIDLastSave="0" documentId="8_{FE659EAF-90DB-1444-9050-30A6BB95D197}" xr6:coauthVersionLast="47" xr6:coauthVersionMax="47" xr10:uidLastSave="{00000000-0000-0000-0000-000000000000}"/>
  <bookViews>
    <workbookView xWindow="1140" yWindow="2620" windowWidth="27200" windowHeight="16920" xr2:uid="{00000000-000D-0000-FFFF-FFFF00000000}"/>
  </bookViews>
  <sheets>
    <sheet name="Debt Equity" sheetId="1" r:id="rId1"/>
    <sheet name="Depreci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2" l="1"/>
  <c r="F39" i="2"/>
  <c r="G39" i="2"/>
  <c r="D39" i="2"/>
  <c r="C18" i="1"/>
  <c r="G45" i="1"/>
  <c r="C45" i="1"/>
  <c r="B45" i="1"/>
  <c r="C39" i="1"/>
  <c r="C40" i="1" s="1"/>
  <c r="D33" i="2" s="1"/>
  <c r="C38" i="1"/>
  <c r="B19" i="2"/>
  <c r="B18" i="2"/>
  <c r="B17" i="2"/>
  <c r="B16" i="2"/>
  <c r="M12" i="2"/>
  <c r="M13" i="2" s="1"/>
  <c r="L12" i="2"/>
  <c r="L13" i="2" s="1"/>
  <c r="K12" i="2"/>
  <c r="K13" i="2" s="1"/>
  <c r="J12" i="2"/>
  <c r="J13" i="2" s="1"/>
  <c r="I12" i="2"/>
  <c r="H12" i="2"/>
  <c r="B6" i="1"/>
  <c r="B23" i="1"/>
  <c r="C51" i="1" s="1"/>
  <c r="B22" i="1"/>
  <c r="C33" i="1" s="1"/>
  <c r="G5" i="1"/>
  <c r="C4" i="1"/>
  <c r="C6" i="1" s="1"/>
  <c r="M19" i="2" l="1"/>
  <c r="L19" i="2"/>
  <c r="F19" i="2"/>
  <c r="E19" i="2"/>
  <c r="D19" i="2"/>
  <c r="M18" i="2"/>
  <c r="L18" i="2"/>
  <c r="K18" i="2"/>
  <c r="E18" i="2"/>
  <c r="D18" i="2"/>
  <c r="M17" i="2"/>
  <c r="L17" i="2"/>
  <c r="K17" i="2"/>
  <c r="J17" i="2"/>
  <c r="D17" i="2"/>
  <c r="M16" i="2"/>
  <c r="M21" i="2" s="1"/>
  <c r="L16" i="2"/>
  <c r="L21" i="2" s="1"/>
  <c r="K16" i="2"/>
  <c r="J16" i="2"/>
  <c r="I16" i="2"/>
  <c r="I13" i="2"/>
  <c r="H13" i="2"/>
  <c r="C77" i="1"/>
  <c r="C15" i="1"/>
  <c r="C41" i="1"/>
  <c r="G51" i="1"/>
  <c r="F11" i="1"/>
  <c r="D11" i="1"/>
  <c r="C11" i="1"/>
  <c r="E11" i="1"/>
  <c r="D4" i="1"/>
  <c r="D6" i="1" s="1"/>
  <c r="G33" i="1"/>
  <c r="G11" i="2" l="1"/>
  <c r="G12" i="2" s="1"/>
  <c r="G13" i="2" s="1"/>
  <c r="C19" i="2" s="1"/>
  <c r="F20" i="1"/>
  <c r="E11" i="2"/>
  <c r="E12" i="2" s="1"/>
  <c r="E13" i="2" s="1"/>
  <c r="C17" i="2" s="1"/>
  <c r="D20" i="1"/>
  <c r="D11" i="2"/>
  <c r="D12" i="2" s="1"/>
  <c r="C20" i="1"/>
  <c r="F11" i="2"/>
  <c r="F12" i="2" s="1"/>
  <c r="F13" i="2" s="1"/>
  <c r="C18" i="2" s="1"/>
  <c r="E20" i="1"/>
  <c r="F12" i="1"/>
  <c r="D12" i="1"/>
  <c r="C12" i="1"/>
  <c r="G11" i="1"/>
  <c r="E12" i="1"/>
  <c r="C8" i="1"/>
  <c r="D8" i="1"/>
  <c r="D9" i="1" s="1"/>
  <c r="E4" i="1"/>
  <c r="E6" i="1" s="1"/>
  <c r="F25" i="2" l="1"/>
  <c r="E25" i="2"/>
  <c r="G25" i="2"/>
  <c r="D25" i="2"/>
  <c r="H25" i="2"/>
  <c r="L25" i="2"/>
  <c r="K25" i="2"/>
  <c r="J25" i="2"/>
  <c r="I25" i="2"/>
  <c r="M25" i="2"/>
  <c r="G19" i="2"/>
  <c r="K19" i="2"/>
  <c r="K21" i="2" s="1"/>
  <c r="I19" i="2"/>
  <c r="J19" i="2"/>
  <c r="H19" i="2"/>
  <c r="E17" i="2"/>
  <c r="H17" i="2"/>
  <c r="F17" i="2"/>
  <c r="I17" i="2"/>
  <c r="G17" i="2"/>
  <c r="D13" i="2"/>
  <c r="C16" i="2" s="1"/>
  <c r="J18" i="2"/>
  <c r="I18" i="2"/>
  <c r="F18" i="2"/>
  <c r="H18" i="2"/>
  <c r="G18" i="2"/>
  <c r="D75" i="1"/>
  <c r="D76" i="1" s="1"/>
  <c r="E31" i="2"/>
  <c r="G12" i="1"/>
  <c r="C9" i="1"/>
  <c r="D13" i="1"/>
  <c r="F4" i="1"/>
  <c r="F6" i="1" s="1"/>
  <c r="G16" i="2" l="1"/>
  <c r="G21" i="2" s="1"/>
  <c r="E16" i="2"/>
  <c r="E21" i="2" s="1"/>
  <c r="E32" i="2" s="1"/>
  <c r="H16" i="2"/>
  <c r="H21" i="2" s="1"/>
  <c r="D16" i="2"/>
  <c r="D21" i="2" s="1"/>
  <c r="F16" i="2"/>
  <c r="F21" i="2" s="1"/>
  <c r="I21" i="2"/>
  <c r="J21" i="2"/>
  <c r="C75" i="1"/>
  <c r="C76" i="1" s="1"/>
  <c r="C78" i="1" s="1"/>
  <c r="C79" i="1" s="1"/>
  <c r="C52" i="1" s="1"/>
  <c r="C58" i="1" s="1"/>
  <c r="D31" i="2"/>
  <c r="C13" i="1"/>
  <c r="C16" i="1" s="1"/>
  <c r="C17" i="1" s="1"/>
  <c r="E8" i="1"/>
  <c r="F8" i="1"/>
  <c r="F9" i="1" s="1"/>
  <c r="G6" i="1"/>
  <c r="G4" i="1"/>
  <c r="C19" i="1" l="1"/>
  <c r="C27" i="1"/>
  <c r="C46" i="1" s="1"/>
  <c r="D32" i="2"/>
  <c r="D34" i="2" s="1"/>
  <c r="D35" i="2" s="1"/>
  <c r="K22" i="2"/>
  <c r="K26" i="2" s="1"/>
  <c r="K27" i="2" s="1"/>
  <c r="D29" i="2"/>
  <c r="H22" i="2"/>
  <c r="H26" i="2" s="1"/>
  <c r="H27" i="2" s="1"/>
  <c r="L22" i="2"/>
  <c r="L26" i="2" s="1"/>
  <c r="L27" i="2" s="1"/>
  <c r="G22" i="2"/>
  <c r="G26" i="2" s="1"/>
  <c r="G27" i="2" s="1"/>
  <c r="I22" i="2"/>
  <c r="I26" i="2" s="1"/>
  <c r="I27" i="2" s="1"/>
  <c r="M22" i="2"/>
  <c r="M26" i="2" s="1"/>
  <c r="M27" i="2" s="1"/>
  <c r="J22" i="2"/>
  <c r="J26" i="2" s="1"/>
  <c r="J27" i="2" s="1"/>
  <c r="E22" i="2"/>
  <c r="E26" i="2" s="1"/>
  <c r="E27" i="2" s="1"/>
  <c r="F22" i="2"/>
  <c r="F26" i="2" s="1"/>
  <c r="F27" i="2" s="1"/>
  <c r="D22" i="2"/>
  <c r="D26" i="2" s="1"/>
  <c r="D27" i="2" s="1"/>
  <c r="F75" i="1"/>
  <c r="F76" i="1" s="1"/>
  <c r="G31" i="2"/>
  <c r="G32" i="2" s="1"/>
  <c r="G8" i="1"/>
  <c r="E9" i="1"/>
  <c r="F13" i="1"/>
  <c r="D36" i="2" l="1"/>
  <c r="D38" i="2" s="1"/>
  <c r="E75" i="1"/>
  <c r="E76" i="1" s="1"/>
  <c r="F31" i="2"/>
  <c r="F32" i="2" s="1"/>
  <c r="C24" i="1"/>
  <c r="G9" i="1"/>
  <c r="E13" i="1"/>
  <c r="C21" i="1" l="1"/>
  <c r="C47" i="1" s="1"/>
  <c r="C25" i="1"/>
  <c r="G10" i="1"/>
  <c r="G13" i="1"/>
  <c r="G14" i="1" s="1"/>
  <c r="C26" i="1" l="1"/>
  <c r="C29" i="1"/>
  <c r="C30" i="1"/>
  <c r="C28" i="1"/>
  <c r="C48" i="1"/>
  <c r="D45" i="1" s="1"/>
  <c r="G20" i="1" l="1"/>
  <c r="C53" i="1"/>
  <c r="C36" i="1"/>
  <c r="D38" i="1" s="1"/>
  <c r="C34" i="1"/>
  <c r="C37" i="1"/>
  <c r="D39" i="1" s="1"/>
  <c r="C59" i="1"/>
  <c r="D40" i="1" l="1"/>
  <c r="E33" i="2" s="1"/>
  <c r="E34" i="2" s="1"/>
  <c r="C35" i="1"/>
  <c r="C22" i="1" s="1"/>
  <c r="E35" i="2" l="1"/>
  <c r="E36" i="2" s="1"/>
  <c r="E38" i="2" s="1"/>
  <c r="D15" i="1"/>
  <c r="D33" i="1"/>
  <c r="D16" i="1" l="1"/>
  <c r="D41" i="1"/>
  <c r="D77" i="1"/>
  <c r="D78" i="1" s="1"/>
  <c r="D17" i="1" l="1"/>
  <c r="D18" i="1" s="1"/>
  <c r="D19" i="1" l="1"/>
  <c r="D27" i="1"/>
  <c r="D46" i="1" s="1"/>
  <c r="D24" i="1"/>
  <c r="D36" i="1" l="1"/>
  <c r="E38" i="1" s="1"/>
  <c r="D25" i="1" l="1"/>
  <c r="D34" i="1"/>
  <c r="D35" i="1" s="1"/>
  <c r="D22" i="1" s="1"/>
  <c r="E33" i="1" s="1"/>
  <c r="E77" i="1" s="1"/>
  <c r="E78" i="1" s="1"/>
  <c r="D37" i="1"/>
  <c r="E39" i="1" s="1"/>
  <c r="E40" i="1" s="1"/>
  <c r="D21" i="1"/>
  <c r="C23" i="1"/>
  <c r="D28" i="1" l="1"/>
  <c r="D30" i="1"/>
  <c r="D29" i="1"/>
  <c r="D47" i="1"/>
  <c r="D26" i="1"/>
  <c r="E41" i="1"/>
  <c r="F33" i="2"/>
  <c r="F34" i="2" s="1"/>
  <c r="E15" i="1"/>
  <c r="D51" i="1"/>
  <c r="C60" i="1"/>
  <c r="C61" i="1" s="1"/>
  <c r="C54" i="1"/>
  <c r="D48" i="1" l="1"/>
  <c r="E45" i="1" s="1"/>
  <c r="F35" i="2"/>
  <c r="F36" i="2" s="1"/>
  <c r="F38" i="2" s="1"/>
  <c r="E16" i="1"/>
  <c r="D79" i="1"/>
  <c r="D52" i="1" s="1"/>
  <c r="E17" i="1" l="1"/>
  <c r="E18" i="1" s="1"/>
  <c r="D53" i="1"/>
  <c r="D23" i="1" s="1"/>
  <c r="D58" i="1"/>
  <c r="D59" i="1" s="1"/>
  <c r="E19" i="1" l="1"/>
  <c r="E27" i="1"/>
  <c r="E46" i="1" s="1"/>
  <c r="E24" i="1"/>
  <c r="D54" i="1"/>
  <c r="D60" i="1"/>
  <c r="D61" i="1" s="1"/>
  <c r="E51" i="1"/>
  <c r="E79" i="1" s="1"/>
  <c r="E52" i="1" s="1"/>
  <c r="E36" i="1" l="1"/>
  <c r="F38" i="1" s="1"/>
  <c r="E53" i="1"/>
  <c r="E23" i="1" s="1"/>
  <c r="E58" i="1"/>
  <c r="E59" i="1" l="1"/>
  <c r="E60" i="1" s="1"/>
  <c r="E61" i="1" s="1"/>
  <c r="E34" i="1"/>
  <c r="E35" i="1" s="1"/>
  <c r="E22" i="1" s="1"/>
  <c r="F33" i="1" s="1"/>
  <c r="E25" i="1"/>
  <c r="E21" i="1"/>
  <c r="E37" i="1"/>
  <c r="F39" i="1" s="1"/>
  <c r="G38" i="1"/>
  <c r="E54" i="1"/>
  <c r="F51" i="1"/>
  <c r="E30" i="1" l="1"/>
  <c r="E29" i="1"/>
  <c r="E28" i="1"/>
  <c r="G39" i="1"/>
  <c r="F40" i="1"/>
  <c r="E47" i="1"/>
  <c r="E26" i="1"/>
  <c r="F77" i="1"/>
  <c r="F78" i="1" s="1"/>
  <c r="F79" i="1" s="1"/>
  <c r="F52" i="1" s="1"/>
  <c r="G33" i="2" l="1"/>
  <c r="G34" i="2" s="1"/>
  <c r="G35" i="2" s="1"/>
  <c r="G36" i="2" s="1"/>
  <c r="G38" i="2" s="1"/>
  <c r="G40" i="1"/>
  <c r="G41" i="1" s="1"/>
  <c r="F15" i="1"/>
  <c r="F41" i="1"/>
  <c r="E48" i="1"/>
  <c r="F45" i="1" s="1"/>
  <c r="F58" i="1"/>
  <c r="F53" i="1"/>
  <c r="G15" i="1" l="1"/>
  <c r="F16" i="1"/>
  <c r="F23" i="1"/>
  <c r="G54" i="1" s="1"/>
  <c r="G53" i="1"/>
  <c r="G52" i="1" s="1"/>
  <c r="F17" i="1" l="1"/>
  <c r="F18" i="1" s="1"/>
  <c r="G16" i="1"/>
  <c r="F54" i="1"/>
  <c r="G23" i="1"/>
  <c r="F19" i="1" l="1"/>
  <c r="F21" i="1" s="1"/>
  <c r="F24" i="1"/>
  <c r="F27" i="1"/>
  <c r="G17" i="1"/>
  <c r="G24" i="1" s="1"/>
  <c r="G27" i="1" l="1"/>
  <c r="F46" i="1"/>
  <c r="G46" i="1" s="1"/>
  <c r="G18" i="1"/>
  <c r="F36" i="1"/>
  <c r="G36" i="1" s="1"/>
  <c r="F47" i="1"/>
  <c r="G21" i="1"/>
  <c r="F25" i="1"/>
  <c r="F26" i="1" s="1"/>
  <c r="F34" i="1"/>
  <c r="F59" i="1"/>
  <c r="G19" i="1"/>
  <c r="F37" i="1"/>
  <c r="G37" i="1" s="1"/>
  <c r="G47" i="1" l="1"/>
  <c r="F48" i="1"/>
  <c r="G48" i="1" s="1"/>
  <c r="G25" i="1"/>
  <c r="G26" i="1" s="1"/>
  <c r="F29" i="1"/>
  <c r="F28" i="1"/>
  <c r="F30" i="1"/>
  <c r="F35" i="1"/>
  <c r="G34" i="1"/>
  <c r="F60" i="1"/>
  <c r="G59" i="1"/>
  <c r="G58" i="1" s="1"/>
  <c r="G35" i="1" l="1"/>
  <c r="F22" i="1"/>
  <c r="G22" i="1" s="1"/>
  <c r="G28" i="1"/>
  <c r="G29" i="1"/>
  <c r="G30" i="1"/>
  <c r="F61" i="1"/>
  <c r="G61" i="1" s="1"/>
  <c r="G60" i="1"/>
</calcChain>
</file>

<file path=xl/sharedStrings.xml><?xml version="1.0" encoding="utf-8"?>
<sst xmlns="http://schemas.openxmlformats.org/spreadsheetml/2006/main" count="134" uniqueCount="117">
  <si>
    <t>Nebius (NBIS): 5 GW build funding model, 2027–2030</t>
  </si>
  <si>
    <t>2027</t>
  </si>
  <si>
    <t>2028</t>
  </si>
  <si>
    <t>2029</t>
  </si>
  <si>
    <t>2030</t>
  </si>
  <si>
    <t>2027–30</t>
  </si>
  <si>
    <t>Converts</t>
  </si>
  <si>
    <t>Mix: secured</t>
  </si>
  <si>
    <t>Mix: converts</t>
  </si>
  <si>
    <t>Mix: straight equity</t>
  </si>
  <si>
    <t>+ Secured debt + converts issued</t>
  </si>
  <si>
    <t>Closing debt (calculated)</t>
  </si>
  <si>
    <t>Cumulative secured debt issued</t>
  </si>
  <si>
    <t>Cumulative new converts issued</t>
  </si>
  <si>
    <t>Opening shares</t>
  </si>
  <si>
    <t>Dilution in year</t>
  </si>
  <si>
    <t>Conversion price of that year's converts</t>
  </si>
  <si>
    <t>Potential shares from that year's converts</t>
  </si>
  <si>
    <t>Shares if every new convert converts</t>
  </si>
  <si>
    <t xml:space="preserve">in Billions unless specified </t>
  </si>
  <si>
    <t>Debt</t>
  </si>
  <si>
    <t xml:space="preserve">Equity Dilution </t>
  </si>
  <si>
    <t xml:space="preserve">Estimated conversion premium </t>
  </si>
  <si>
    <t>Opening debt (January opening)</t>
  </si>
  <si>
    <t>Assumptions</t>
  </si>
  <si>
    <t>Prepayments (% of capex)</t>
  </si>
  <si>
    <t>Active GW</t>
  </si>
  <si>
    <t>EBITDA (= revenue × margin)</t>
  </si>
  <si>
    <t>Prepayments (= capex × rate)</t>
  </si>
  <si>
    <t>Total debt (= closing debt)</t>
  </si>
  <si>
    <t>Shares (= opening + new issued)</t>
  </si>
  <si>
    <t>New shares (= equity ÷ issue price)</t>
  </si>
  <si>
    <t xml:space="preserve">  EBITDA margin (% of revenue)</t>
  </si>
  <si>
    <t>EBITDA</t>
  </si>
  <si>
    <t>Capital structure today — actuals as of June 30, 2026</t>
  </si>
  <si>
    <t>Total debt ($B) — 100% convertible notes</t>
  </si>
  <si>
    <t xml:space="preserve">   of which secured / asset-backed debt</t>
  </si>
  <si>
    <t>Cash and cash equivalents ($B)</t>
  </si>
  <si>
    <t>Shares issued and outstanding (M)</t>
  </si>
  <si>
    <t>Prefunded warrants issued ($B, Q1 2026)</t>
  </si>
  <si>
    <t>Deferred revenue — customer prepayments ($B)</t>
  </si>
  <si>
    <t>Convertible principal issued to date ($B)</t>
  </si>
  <si>
    <t>2026 guidance: revenue $3.0–3.4B, exit ARR $7–9B</t>
  </si>
  <si>
    <t>Total program capex ($B)</t>
  </si>
  <si>
    <t xml:space="preserve">  GW added in year</t>
  </si>
  <si>
    <t>Recognized revenue (= avg of opening/closing ARR)</t>
  </si>
  <si>
    <t>Capex (= total program × GW added share)</t>
  </si>
  <si>
    <t>Jun'26 A</t>
  </si>
  <si>
    <t xml:space="preserve">  Cumulative dilution vs Jun-2026 actual</t>
  </si>
  <si>
    <t>ARR (= GW × ARR per MW)</t>
  </si>
  <si>
    <t xml:space="preserve">  ARR per MW ($M) — floor</t>
  </si>
  <si>
    <t>Operating cash available (= EBITDA × conversion)</t>
  </si>
  <si>
    <t xml:space="preserve">  Cash conversion (% of EBITDA; rest funds expenses)</t>
  </si>
  <si>
    <t xml:space="preserve">  Self/customer funded (% of capex)</t>
  </si>
  <si>
    <t>External capital raised (debt + equity)</t>
  </si>
  <si>
    <t xml:space="preserve">  Check: total funding − capex (must be 0)</t>
  </si>
  <si>
    <t xml:space="preserve">   Secured / asset-backed cap (% of capex) — drawn first</t>
  </si>
  <si>
    <t xml:space="preserve">  Secured / asset-backed debt (drawn first, to cap)</t>
  </si>
  <si>
    <t>Valuation — share price derived from EBITDA × multiple</t>
  </si>
  <si>
    <t>Enterprise value (EBITDA × multiple)</t>
  </si>
  <si>
    <t>Less: opening debt</t>
  </si>
  <si>
    <t>Equity value (pre-money)</t>
  </si>
  <si>
    <t>Derived share price (= equity value ÷ opening shares)</t>
  </si>
  <si>
    <t>Issue price ($/share) — derived (see row 63)</t>
  </si>
  <si>
    <t>EV/EBITDA multiple (drives derived share price)</t>
  </si>
  <si>
    <t>Equity slice (% of capex)</t>
  </si>
  <si>
    <t>EBITDA applied to capex (% of EBITDA)</t>
  </si>
  <si>
    <t xml:space="preserve">  Straight equity (= equity slice of capex)</t>
  </si>
  <si>
    <t xml:space="preserve">  Convertible notes (= residual debt need)</t>
  </si>
  <si>
    <t>GPU Depreciation Schedule — straight-line, vintage-layered</t>
  </si>
  <si>
    <t>$ in billions unless specified; capex linked from Model row 11</t>
  </si>
  <si>
    <t>GPU share of program capex (%)</t>
  </si>
  <si>
    <t>GPU useful life (years)</t>
  </si>
  <si>
    <t>Salvage value (% of cost)</t>
  </si>
  <si>
    <t>Capex &amp; depreciable base</t>
  </si>
  <si>
    <t>Total program capex</t>
  </si>
  <si>
    <t>GPU capex (= total × GPU share)</t>
  </si>
  <si>
    <t>Annual depreciation per vintage (= cost × (1−salvage) ÷ life)</t>
  </si>
  <si>
    <t>Depreciation by capex vintage</t>
  </si>
  <si>
    <t>Vintage</t>
  </si>
  <si>
    <t>Annual D</t>
  </si>
  <si>
    <t>2027 vintage</t>
  </si>
  <si>
    <t>2028 vintage</t>
  </si>
  <si>
    <t>2029 vintage</t>
  </si>
  <si>
    <t>2030 vintage</t>
  </si>
  <si>
    <t>Total GPU depreciation</t>
  </si>
  <si>
    <t>Cumulative depreciation</t>
  </si>
  <si>
    <t>PP&amp;E rollforward</t>
  </si>
  <si>
    <t>Gross GPU PP&amp;E (closing)</t>
  </si>
  <si>
    <t>Less: accumulated depreciation</t>
  </si>
  <si>
    <t>Net book value (closing)</t>
  </si>
  <si>
    <t>Check: total depreciation over life − depreciable cost (must be 0)</t>
  </si>
  <si>
    <t>Memo: EBIT (= EBITDA − GPU depreciation)</t>
  </si>
  <si>
    <t>Secured / asset-backed interest rate (%)</t>
  </si>
  <si>
    <t>Convertible note coupon (%)</t>
  </si>
  <si>
    <t>Interest on secured debt (= opening secured × rate)</t>
  </si>
  <si>
    <t>Interest on convertible notes (= opening converts × coupon)</t>
  </si>
  <si>
    <t>Total cash interest</t>
  </si>
  <si>
    <t xml:space="preserve">  Effective blended rate (= interest ÷ opening debt)</t>
  </si>
  <si>
    <t>Less: cash interest (= total interest, row 39)</t>
  </si>
  <si>
    <t>Operating cash available, net of interest</t>
  </si>
  <si>
    <t xml:space="preserve">  Memo: operating cash retained (net of interest)</t>
  </si>
  <si>
    <t>Earnings before tax (= EBIT − interest)</t>
  </si>
  <si>
    <t>Tax rate (%)</t>
  </si>
  <si>
    <t>Less: tax (= EBT × tax rate, floored at zero)</t>
  </si>
  <si>
    <t>Earnings after tax</t>
  </si>
  <si>
    <t>Funding surplus to cash (= sources − capex)</t>
  </si>
  <si>
    <t>Cash</t>
  </si>
  <si>
    <t>Opening cash (January opening)</t>
  </si>
  <si>
    <t>+ Operating cash retained (row 27)</t>
  </si>
  <si>
    <t>+ Funding surplus (row 21)</t>
  </si>
  <si>
    <t>Closing cash</t>
  </si>
  <si>
    <t xml:space="preserve">Memo: EBITDA </t>
  </si>
  <si>
    <t>Less: cash interest (Debt Equity row 40)</t>
  </si>
  <si>
    <t xml:space="preserve">  EBITDA applied to capex (= 15% of EBITDA)</t>
  </si>
  <si>
    <t>EPS:</t>
  </si>
  <si>
    <t xml:space="preserve">Multiple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</si>
</sst>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7" formatCode="&quot;$&quot;#,##0.00_);\(&quot;$&quot;#,##0.00\)"/>
    <numFmt numFmtId="164" formatCode="0.00&quot; GW&quot;"/>
    <numFmt numFmtId="165" formatCode="\$#,##0.0;\(\$#,##0.0\);&quot;-&quot;"/>
    <numFmt numFmtId="166" formatCode="0%;\(0%\);&quot;-&quot;"/>
    <numFmt numFmtId="167" formatCode="0.0%;\(0.0%\);&quot;-&quot;"/>
    <numFmt numFmtId="168" formatCode="\$#,##0"/>
    <numFmt numFmtId="169" formatCode="#,##0.0&quot;M&quot;;\(#,##0.0&quot;M&quot;\);&quot;-&quot;"/>
    <numFmt numFmtId="170" formatCode="&quot;$&quot;#,##0.0;\(&quot;$&quot;#,##0.0\);&quot;-&quot;"/>
    <numFmt numFmtId="171" formatCode="&quot;$&quot;#,##0"/>
    <numFmt numFmtId="172" formatCode="\$#,##0.0"/>
    <numFmt numFmtId="173" formatCode="0.0%"/>
    <numFmt numFmtId="174" formatCode="0.0&quot;x&quot;"/>
    <numFmt numFmtId="175" formatCode="#,##0.0&quot;M&quot;"/>
    <numFmt numFmtId="176" formatCode="\$#,##0&quot;M&quot;"/>
    <numFmt numFmtId="177" formatCode="&quot;$&quot;#,##0.0;\(&quot;$&quot;#,##0.0\);\-"/>
  </numFmts>
  <fonts count="24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1F3864"/>
      <name val="Arial"/>
      <family val="2"/>
    </font>
    <font>
      <sz val="10"/>
      <color rgb="FF0000FF"/>
      <name val="Arial"/>
      <family val="2"/>
    </font>
    <font>
      <i/>
      <sz val="10"/>
      <color rgb="FF0000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sz val="10"/>
      <color rgb="FF008000"/>
      <name val="Arial"/>
      <family val="2"/>
    </font>
    <font>
      <b/>
      <sz val="13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i/>
      <sz val="10"/>
      <color rgb="FF595959"/>
      <name val="Arial"/>
      <family val="2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1" fillId="0" borderId="0" xfId="0" applyFont="1"/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165" fontId="4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167" fontId="4" fillId="0" borderId="0" xfId="0" applyNumberFormat="1" applyFont="1" applyAlignment="1">
      <alignment horizontal="right"/>
    </xf>
    <xf numFmtId="0" fontId="5" fillId="0" borderId="0" xfId="0" applyFont="1"/>
    <xf numFmtId="165" fontId="5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8" fillId="0" borderId="0" xfId="0" applyFont="1"/>
    <xf numFmtId="170" fontId="5" fillId="0" borderId="0" xfId="0" applyNumberFormat="1" applyFont="1" applyAlignment="1">
      <alignment horizontal="right"/>
    </xf>
    <xf numFmtId="171" fontId="4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4" fontId="9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171" fontId="9" fillId="0" borderId="0" xfId="0" applyNumberFormat="1" applyFont="1" applyAlignment="1">
      <alignment horizontal="right"/>
    </xf>
    <xf numFmtId="0" fontId="11" fillId="0" borderId="0" xfId="0" applyFont="1"/>
    <xf numFmtId="0" fontId="9" fillId="0" borderId="0" xfId="0" applyFont="1"/>
    <xf numFmtId="173" fontId="12" fillId="0" borderId="0" xfId="0" applyNumberFormat="1" applyFont="1" applyAlignment="1">
      <alignment horizontal="right"/>
    </xf>
    <xf numFmtId="0" fontId="13" fillId="0" borderId="0" xfId="0" applyFont="1"/>
    <xf numFmtId="165" fontId="14" fillId="0" borderId="0" xfId="0" applyNumberFormat="1" applyFont="1" applyAlignment="1">
      <alignment horizontal="right"/>
    </xf>
    <xf numFmtId="168" fontId="12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/>
    </xf>
    <xf numFmtId="166" fontId="12" fillId="0" borderId="0" xfId="0" applyNumberFormat="1" applyFont="1" applyAlignment="1">
      <alignment horizontal="right"/>
    </xf>
    <xf numFmtId="173" fontId="4" fillId="0" borderId="0" xfId="0" applyNumberFormat="1" applyFont="1" applyAlignment="1">
      <alignment horizontal="right"/>
    </xf>
    <xf numFmtId="169" fontId="7" fillId="0" borderId="0" xfId="0" applyNumberFormat="1" applyFont="1" applyAlignment="1">
      <alignment horizontal="right"/>
    </xf>
    <xf numFmtId="0" fontId="13" fillId="0" borderId="0" xfId="0" applyFont="1" applyAlignment="1">
      <alignment horizontal="left"/>
    </xf>
    <xf numFmtId="165" fontId="13" fillId="0" borderId="0" xfId="0" applyNumberFormat="1" applyFont="1" applyAlignment="1">
      <alignment horizontal="right"/>
    </xf>
    <xf numFmtId="174" fontId="12" fillId="0" borderId="0" xfId="0" applyNumberFormat="1" applyFont="1" applyAlignment="1">
      <alignment horizontal="right"/>
    </xf>
    <xf numFmtId="168" fontId="10" fillId="0" borderId="0" xfId="0" applyNumberFormat="1" applyFont="1" applyAlignment="1">
      <alignment horizontal="right"/>
    </xf>
    <xf numFmtId="0" fontId="15" fillId="0" borderId="0" xfId="0" applyFont="1"/>
    <xf numFmtId="172" fontId="9" fillId="0" borderId="0" xfId="0" applyNumberFormat="1" applyFont="1" applyAlignment="1">
      <alignment horizontal="right"/>
    </xf>
    <xf numFmtId="175" fontId="9" fillId="0" borderId="0" xfId="0" applyNumberFormat="1" applyFont="1" applyAlignment="1">
      <alignment horizontal="right"/>
    </xf>
    <xf numFmtId="172" fontId="15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175" fontId="7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/>
    </xf>
    <xf numFmtId="175" fontId="16" fillId="0" borderId="0" xfId="0" applyNumberFormat="1" applyFont="1" applyAlignment="1">
      <alignment horizontal="right"/>
    </xf>
    <xf numFmtId="176" fontId="12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175" fontId="5" fillId="0" borderId="0" xfId="0" applyNumberFormat="1" applyFont="1" applyAlignment="1">
      <alignment horizontal="right"/>
    </xf>
    <xf numFmtId="175" fontId="10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2" borderId="0" xfId="0" applyFont="1" applyFill="1"/>
    <xf numFmtId="0" fontId="0" fillId="2" borderId="0" xfId="0" applyFill="1"/>
    <xf numFmtId="173" fontId="20" fillId="3" borderId="0" xfId="0" applyNumberFormat="1" applyFont="1" applyFill="1"/>
    <xf numFmtId="1" fontId="20" fillId="3" borderId="0" xfId="0" applyNumberFormat="1" applyFont="1" applyFill="1"/>
    <xf numFmtId="0" fontId="19" fillId="0" borderId="0" xfId="0" applyFont="1" applyAlignment="1">
      <alignment horizontal="center"/>
    </xf>
    <xf numFmtId="177" fontId="21" fillId="0" borderId="0" xfId="0" applyNumberFormat="1" applyFont="1"/>
    <xf numFmtId="177" fontId="0" fillId="0" borderId="0" xfId="0" applyNumberFormat="1"/>
    <xf numFmtId="1" fontId="0" fillId="0" borderId="0" xfId="0" applyNumberFormat="1" applyAlignment="1">
      <alignment horizontal="center"/>
    </xf>
    <xf numFmtId="177" fontId="19" fillId="0" borderId="0" xfId="0" applyNumberFormat="1" applyFont="1"/>
    <xf numFmtId="1" fontId="19" fillId="0" borderId="1" xfId="0" applyNumberFormat="1" applyFont="1" applyBorder="1" applyAlignment="1">
      <alignment horizontal="center"/>
    </xf>
    <xf numFmtId="177" fontId="19" fillId="0" borderId="2" xfId="0" applyNumberFormat="1" applyFont="1" applyBorder="1"/>
    <xf numFmtId="173" fontId="12" fillId="3" borderId="0" xfId="0" applyNumberFormat="1" applyFont="1" applyFill="1" applyAlignment="1">
      <alignment horizontal="right"/>
    </xf>
    <xf numFmtId="173" fontId="0" fillId="0" borderId="0" xfId="0" applyNumberFormat="1"/>
    <xf numFmtId="0" fontId="22" fillId="0" borderId="0" xfId="0" applyFont="1"/>
    <xf numFmtId="177" fontId="6" fillId="0" borderId="0" xfId="0" applyNumberFormat="1" applyFont="1"/>
    <xf numFmtId="177" fontId="23" fillId="0" borderId="3" xfId="0" applyNumberFormat="1" applyFont="1" applyBorder="1"/>
    <xf numFmtId="165" fontId="8" fillId="0" borderId="2" xfId="0" applyNumberFormat="1" applyFont="1" applyBorder="1" applyAlignment="1">
      <alignment horizontal="right"/>
    </xf>
    <xf numFmtId="165" fontId="5" fillId="0" borderId="2" xfId="0" applyNumberFormat="1" applyFont="1" applyBorder="1" applyAlignment="1">
      <alignment horizontal="right"/>
    </xf>
    <xf numFmtId="177" fontId="20" fillId="0" borderId="0" xfId="0" applyNumberFormat="1" applyFont="1"/>
    <xf numFmtId="7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5FBBB7-33CC-7B49-8D49-AA68F17A714F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workbookViewId="0">
      <pane xSplit="2" ySplit="3" topLeftCell="C59" activePane="bottomRight" state="frozen"/>
      <selection pane="topRight"/>
      <selection pane="bottomLeft"/>
      <selection pane="bottomRight" activeCell="E71" sqref="E71"/>
    </sheetView>
  </sheetViews>
  <sheetFormatPr baseColWidth="10" defaultColWidth="8.83203125" defaultRowHeight="15" x14ac:dyDescent="0.2"/>
  <cols>
    <col min="1" max="1" width="61.5" bestFit="1" customWidth="1"/>
    <col min="2" max="2" width="10" customWidth="1"/>
    <col min="3" max="6" width="11" customWidth="1"/>
    <col min="7" max="7" width="12" customWidth="1"/>
    <col min="8" max="8" width="10.33203125" customWidth="1"/>
  </cols>
  <sheetData>
    <row r="1" spans="1:8" ht="18" x14ac:dyDescent="0.2">
      <c r="A1" s="3" t="s">
        <v>0</v>
      </c>
    </row>
    <row r="2" spans="1:8" x14ac:dyDescent="0.2">
      <c r="A2" s="4" t="s">
        <v>19</v>
      </c>
      <c r="B2" s="5"/>
      <c r="C2" s="5"/>
      <c r="D2" s="5"/>
      <c r="E2" s="5"/>
      <c r="F2" s="5"/>
      <c r="G2" s="5"/>
    </row>
    <row r="3" spans="1:8" x14ac:dyDescent="0.2">
      <c r="A3" s="6"/>
      <c r="B3" s="7" t="s">
        <v>47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2"/>
    </row>
    <row r="4" spans="1:8" x14ac:dyDescent="0.2">
      <c r="A4" s="8" t="s">
        <v>26</v>
      </c>
      <c r="B4" s="33">
        <v>0.4</v>
      </c>
      <c r="C4" s="33">
        <f>B4+C5</f>
        <v>1.5499999999999998</v>
      </c>
      <c r="D4" s="33">
        <f>C4+D5</f>
        <v>2.6999999999999997</v>
      </c>
      <c r="E4" s="33">
        <f>D4+E5</f>
        <v>3.8499999999999996</v>
      </c>
      <c r="F4" s="33">
        <f>E4+F5</f>
        <v>5</v>
      </c>
      <c r="G4" s="23">
        <f>F4</f>
        <v>5</v>
      </c>
    </row>
    <row r="5" spans="1:8" x14ac:dyDescent="0.2">
      <c r="A5" s="8" t="s">
        <v>44</v>
      </c>
      <c r="B5" s="33"/>
      <c r="C5" s="33">
        <v>1.1499999999999999</v>
      </c>
      <c r="D5" s="33">
        <v>1.1499999999999999</v>
      </c>
      <c r="E5" s="33">
        <v>1.1499999999999999</v>
      </c>
      <c r="F5" s="33">
        <v>1.1499999999999999</v>
      </c>
      <c r="G5" s="23">
        <f>SUM(C5:F5)</f>
        <v>4.5999999999999996</v>
      </c>
    </row>
    <row r="6" spans="1:8" x14ac:dyDescent="0.2">
      <c r="A6" s="8" t="s">
        <v>49</v>
      </c>
      <c r="B6" s="18">
        <f>B4*B7</f>
        <v>8</v>
      </c>
      <c r="C6" s="18">
        <f>C4*C7</f>
        <v>34.099999999999994</v>
      </c>
      <c r="D6" s="18">
        <f>D4*D7</f>
        <v>67.5</v>
      </c>
      <c r="E6" s="18">
        <f>E4*E7</f>
        <v>96.249999999999986</v>
      </c>
      <c r="F6" s="18">
        <f>F4*F7</f>
        <v>125</v>
      </c>
      <c r="G6" s="24">
        <f>F6</f>
        <v>125</v>
      </c>
    </row>
    <row r="7" spans="1:8" x14ac:dyDescent="0.2">
      <c r="A7" s="8" t="s">
        <v>50</v>
      </c>
      <c r="B7" s="49">
        <v>20</v>
      </c>
      <c r="C7" s="49">
        <v>22</v>
      </c>
      <c r="D7" s="49">
        <v>25</v>
      </c>
      <c r="E7" s="49">
        <v>25</v>
      </c>
      <c r="F7" s="49">
        <v>25</v>
      </c>
      <c r="G7" s="24"/>
    </row>
    <row r="8" spans="1:8" x14ac:dyDescent="0.2">
      <c r="A8" s="8" t="s">
        <v>45</v>
      </c>
      <c r="B8" s="9"/>
      <c r="C8" s="45">
        <f>(B6+C6)/2</f>
        <v>21.049999999999997</v>
      </c>
      <c r="D8" s="45">
        <f>(C6+D6)/2</f>
        <v>50.8</v>
      </c>
      <c r="E8" s="45">
        <f>(D6+E6)/2</f>
        <v>81.875</v>
      </c>
      <c r="F8" s="45">
        <f>(E6+F6)/2</f>
        <v>110.625</v>
      </c>
      <c r="G8" s="10">
        <f>SUM(C8:F8)</f>
        <v>264.35000000000002</v>
      </c>
    </row>
    <row r="9" spans="1:8" x14ac:dyDescent="0.2">
      <c r="A9" s="8" t="s">
        <v>27</v>
      </c>
      <c r="B9" s="9"/>
      <c r="C9" s="55">
        <f>C8*C10</f>
        <v>10.524999999999999</v>
      </c>
      <c r="D9" s="55">
        <f>D8*D10</f>
        <v>25.4</v>
      </c>
      <c r="E9" s="55">
        <f>E8*E10</f>
        <v>40.9375</v>
      </c>
      <c r="F9" s="55">
        <f>F8*F10</f>
        <v>55.3125</v>
      </c>
      <c r="G9" s="15">
        <f>SUM(C9:F9)</f>
        <v>132.17500000000001</v>
      </c>
    </row>
    <row r="10" spans="1:8" x14ac:dyDescent="0.2">
      <c r="A10" s="4" t="s">
        <v>32</v>
      </c>
      <c r="B10" s="9"/>
      <c r="C10" s="29">
        <v>0.5</v>
      </c>
      <c r="D10" s="29">
        <v>0.5</v>
      </c>
      <c r="E10" s="29">
        <v>0.5</v>
      </c>
      <c r="F10" s="29">
        <v>0.5</v>
      </c>
      <c r="G10" s="35">
        <f>IF(G8=0,0,G9/G8)</f>
        <v>0.5</v>
      </c>
    </row>
    <row r="11" spans="1:8" x14ac:dyDescent="0.2">
      <c r="A11" s="8" t="s">
        <v>46</v>
      </c>
      <c r="B11" s="9"/>
      <c r="C11" s="45">
        <f>$B$66*C5/$G$5</f>
        <v>67.5</v>
      </c>
      <c r="D11" s="45">
        <f>$B$66*D5/$G$5</f>
        <v>67.5</v>
      </c>
      <c r="E11" s="45">
        <f>$B$66*E5/$G$5</f>
        <v>67.5</v>
      </c>
      <c r="F11" s="45">
        <f>$B$66*F5/$G$5</f>
        <v>67.5</v>
      </c>
      <c r="G11" s="10">
        <f>SUM(C11:F11)</f>
        <v>270</v>
      </c>
    </row>
    <row r="12" spans="1:8" x14ac:dyDescent="0.2">
      <c r="A12" s="8" t="s">
        <v>28</v>
      </c>
      <c r="B12" s="9"/>
      <c r="C12" s="18">
        <f>C11*$B$65</f>
        <v>30.375</v>
      </c>
      <c r="D12" s="18">
        <f>D11*$B$65</f>
        <v>30.375</v>
      </c>
      <c r="E12" s="18">
        <f>E11*$B$65</f>
        <v>30.375</v>
      </c>
      <c r="F12" s="18">
        <f>F11*$B$65</f>
        <v>30.375</v>
      </c>
      <c r="G12" s="10">
        <f>SUM(C12:F12)</f>
        <v>121.5</v>
      </c>
    </row>
    <row r="13" spans="1:8" x14ac:dyDescent="0.2">
      <c r="A13" s="8" t="s">
        <v>51</v>
      </c>
      <c r="B13" s="9"/>
      <c r="C13" s="18">
        <f>C9*C14</f>
        <v>7.3674999999999988</v>
      </c>
      <c r="D13" s="18">
        <f>D9*D14</f>
        <v>19.558</v>
      </c>
      <c r="E13" s="18">
        <f>E9*E14</f>
        <v>32.340625000000003</v>
      </c>
      <c r="F13" s="18">
        <f>F9*F14</f>
        <v>44.25</v>
      </c>
      <c r="G13" s="10">
        <f>SUM(C13:F13)</f>
        <v>103.516125</v>
      </c>
    </row>
    <row r="14" spans="1:8" x14ac:dyDescent="0.2">
      <c r="A14" s="8" t="s">
        <v>52</v>
      </c>
      <c r="B14" s="9"/>
      <c r="C14" s="29">
        <v>0.7</v>
      </c>
      <c r="D14" s="29">
        <v>0.77</v>
      </c>
      <c r="E14" s="29">
        <v>0.79</v>
      </c>
      <c r="F14" s="29">
        <v>0.8</v>
      </c>
      <c r="G14" s="35">
        <f>IF(G9=0,0,G13/G9)</f>
        <v>0.78317476829960275</v>
      </c>
    </row>
    <row r="15" spans="1:8" x14ac:dyDescent="0.2">
      <c r="A15" s="8" t="s">
        <v>99</v>
      </c>
      <c r="C15" s="18">
        <f>-C40</f>
        <v>-8.5457000000000005E-2</v>
      </c>
      <c r="D15" s="18">
        <f>-D40</f>
        <v>-1.4027944999999999</v>
      </c>
      <c r="E15" s="18">
        <f>-E40</f>
        <v>-2.6978195</v>
      </c>
      <c r="F15" s="18">
        <f>-F40</f>
        <v>-3.9695382499999998</v>
      </c>
      <c r="G15" s="10">
        <f t="shared" ref="G15:G21" si="0">SUM(C15:F15)</f>
        <v>-8.1556092499999995</v>
      </c>
    </row>
    <row r="16" spans="1:8" x14ac:dyDescent="0.2">
      <c r="A16" s="14" t="s">
        <v>100</v>
      </c>
      <c r="C16" s="55">
        <f>C13+C15</f>
        <v>7.2820429999999989</v>
      </c>
      <c r="D16" s="55">
        <f>D13+D15</f>
        <v>18.155205500000001</v>
      </c>
      <c r="E16" s="55">
        <f>E13+E15</f>
        <v>29.642805500000001</v>
      </c>
      <c r="F16" s="55">
        <f>F13+F15</f>
        <v>40.280461750000001</v>
      </c>
      <c r="G16" s="15">
        <f t="shared" si="0"/>
        <v>95.360515750000005</v>
      </c>
    </row>
    <row r="17" spans="1:8" x14ac:dyDescent="0.2">
      <c r="A17" s="8" t="s">
        <v>114</v>
      </c>
      <c r="B17" s="9"/>
      <c r="C17" s="45">
        <f>MIN($B$67*C9,C16)</f>
        <v>1.5787499999999997</v>
      </c>
      <c r="D17" s="45">
        <f>MIN($B$67*D9,D16)</f>
        <v>3.8099999999999996</v>
      </c>
      <c r="E17" s="45">
        <f>MIN($B$67*E9,E16)</f>
        <v>6.140625</v>
      </c>
      <c r="F17" s="45">
        <f>MIN($B$67*F9,F16)</f>
        <v>8.296875</v>
      </c>
      <c r="G17" s="10">
        <f t="shared" si="0"/>
        <v>19.826249999999998</v>
      </c>
    </row>
    <row r="18" spans="1:8" x14ac:dyDescent="0.2">
      <c r="A18" s="8" t="s">
        <v>57</v>
      </c>
      <c r="B18" s="9"/>
      <c r="C18" s="45">
        <f>MAX(0,MIN(C11-C12-C17-C20,C11*$B$68))</f>
        <v>16.875</v>
      </c>
      <c r="D18" s="45">
        <f>MAX(0,MIN(D11-D12-D17-D20,D11*$B$68))</f>
        <v>16.875</v>
      </c>
      <c r="E18" s="45">
        <f>MAX(0,MIN(E11-E12-E17-E20,E11*$B$68))</f>
        <v>16.875</v>
      </c>
      <c r="F18" s="45">
        <f>MAX(0,MIN(F11-F12-F17-F20,F11*$B$68))</f>
        <v>15.328125</v>
      </c>
      <c r="G18" s="10">
        <f t="shared" si="0"/>
        <v>65.953125</v>
      </c>
    </row>
    <row r="19" spans="1:8" x14ac:dyDescent="0.2">
      <c r="A19" s="8" t="s">
        <v>68</v>
      </c>
      <c r="B19" s="9"/>
      <c r="C19" s="45">
        <f>MAX(0,C11-C12-C17-C20-C18)</f>
        <v>5.1712500000000006</v>
      </c>
      <c r="D19" s="45">
        <f>MAX(0,D11-D12-D17-D20-D18)</f>
        <v>2.9399999999999977</v>
      </c>
      <c r="E19" s="45">
        <f>MAX(0,E11-E12-E17-E20-E18)</f>
        <v>0.609375</v>
      </c>
      <c r="F19" s="45">
        <f>MAX(0,F11-F12-F17-F20-F18)</f>
        <v>0</v>
      </c>
      <c r="G19" s="10">
        <f t="shared" si="0"/>
        <v>8.7206249999999983</v>
      </c>
    </row>
    <row r="20" spans="1:8" x14ac:dyDescent="0.2">
      <c r="A20" s="8" t="s">
        <v>67</v>
      </c>
      <c r="B20" s="9"/>
      <c r="C20" s="18">
        <f>$B$64*C11</f>
        <v>13.5</v>
      </c>
      <c r="D20" s="18">
        <f>$B$64*D11</f>
        <v>13.5</v>
      </c>
      <c r="E20" s="18">
        <f>$B$64*E11</f>
        <v>13.5</v>
      </c>
      <c r="F20" s="18">
        <f>$B$64*F11</f>
        <v>13.5</v>
      </c>
      <c r="G20" s="10">
        <f t="shared" si="0"/>
        <v>54</v>
      </c>
    </row>
    <row r="21" spans="1:8" x14ac:dyDescent="0.2">
      <c r="A21" s="8" t="s">
        <v>106</v>
      </c>
      <c r="C21" s="18">
        <f>C12+C17+C18+C19+C20-C11</f>
        <v>0</v>
      </c>
      <c r="D21" s="18">
        <f>D12+D17+D18+D19+D20-D11</f>
        <v>0</v>
      </c>
      <c r="E21" s="18">
        <f>E12+E17+E18+E19+E20-E11</f>
        <v>0</v>
      </c>
      <c r="F21" s="18">
        <f>F12+F17+F18+F19+F20-F11</f>
        <v>0</v>
      </c>
      <c r="G21" s="10">
        <f t="shared" si="0"/>
        <v>0</v>
      </c>
    </row>
    <row r="22" spans="1:8" x14ac:dyDescent="0.2">
      <c r="A22" s="8" t="s">
        <v>29</v>
      </c>
      <c r="B22" s="47">
        <f>B82</f>
        <v>8.5457000000000001</v>
      </c>
      <c r="C22" s="18">
        <f>C35</f>
        <v>30.591950000000001</v>
      </c>
      <c r="D22" s="18">
        <f>D35</f>
        <v>50.406949999999995</v>
      </c>
      <c r="E22" s="18">
        <f>E35</f>
        <v>67.891324999999995</v>
      </c>
      <c r="F22" s="18">
        <f>F35</f>
        <v>83.219449999999995</v>
      </c>
      <c r="G22" s="24">
        <f>F22</f>
        <v>83.219449999999995</v>
      </c>
      <c r="H22" s="1"/>
    </row>
    <row r="23" spans="1:8" x14ac:dyDescent="0.2">
      <c r="A23" s="8" t="s">
        <v>30</v>
      </c>
      <c r="B23" s="48">
        <f>B85</f>
        <v>271.85500000000002</v>
      </c>
      <c r="C23" s="46">
        <f>C51+C53</f>
        <v>311.99028277002424</v>
      </c>
      <c r="D23" s="46">
        <f>D51+D53</f>
        <v>331.97940429336103</v>
      </c>
      <c r="E23" s="46">
        <f>E51+E53</f>
        <v>345.219378372954</v>
      </c>
      <c r="F23" s="46">
        <f>F51+F53</f>
        <v>355.40445603065285</v>
      </c>
      <c r="G23" s="43">
        <f>F23</f>
        <v>355.40445603065285</v>
      </c>
      <c r="H23" s="1"/>
    </row>
    <row r="24" spans="1:8" x14ac:dyDescent="0.2">
      <c r="A24" s="8" t="s">
        <v>53</v>
      </c>
      <c r="B24" s="9"/>
      <c r="C24" s="53">
        <f>IF(C11=0,0,(C12+C17)/C11)</f>
        <v>0.47338888888888886</v>
      </c>
      <c r="D24" s="53">
        <f>IF(D11=0,0,(D12+D17)/D11)</f>
        <v>0.50644444444444447</v>
      </c>
      <c r="E24" s="53">
        <f>IF(E11=0,0,(E12+E17)/E11)</f>
        <v>0.54097222222222219</v>
      </c>
      <c r="F24" s="53">
        <f>IF(F11=0,0,(F12+F17)/F11)</f>
        <v>0.57291666666666663</v>
      </c>
      <c r="G24" s="25">
        <f>IF(G11=0,0,(G12+G17)/G11)</f>
        <v>0.52343055555555551</v>
      </c>
    </row>
    <row r="25" spans="1:8" x14ac:dyDescent="0.2">
      <c r="A25" s="19" t="s">
        <v>54</v>
      </c>
      <c r="B25" s="9"/>
      <c r="C25" s="20">
        <f>C18+C19+C20</f>
        <v>35.546250000000001</v>
      </c>
      <c r="D25" s="20">
        <f>D18+D19+D20</f>
        <v>33.314999999999998</v>
      </c>
      <c r="E25" s="20">
        <f>E18+E19+E20</f>
        <v>30.984375</v>
      </c>
      <c r="F25" s="20">
        <f>F18+F19+F20</f>
        <v>28.828125</v>
      </c>
      <c r="G25" s="20">
        <f>SUM(C25:F25)</f>
        <v>128.67374999999998</v>
      </c>
    </row>
    <row r="26" spans="1:8" x14ac:dyDescent="0.2">
      <c r="A26" s="30" t="s">
        <v>55</v>
      </c>
      <c r="B26" s="9"/>
      <c r="C26" s="31">
        <f>C12+C17+C25-C11-C21</f>
        <v>0</v>
      </c>
      <c r="D26" s="31">
        <f>D12+D17+D25-D11-D21</f>
        <v>0</v>
      </c>
      <c r="E26" s="31">
        <f>E12+E17+E25-E11-E21</f>
        <v>0</v>
      </c>
      <c r="F26" s="31">
        <f>F12+F17+F25-F11-F21</f>
        <v>0</v>
      </c>
      <c r="G26" s="31">
        <f>G12+G17+G25-G11-G21</f>
        <v>0</v>
      </c>
    </row>
    <row r="27" spans="1:8" x14ac:dyDescent="0.2">
      <c r="A27" s="37" t="s">
        <v>101</v>
      </c>
      <c r="B27" s="6"/>
      <c r="C27" s="38">
        <f>C16-C17</f>
        <v>5.7032929999999995</v>
      </c>
      <c r="D27" s="38">
        <f>D16-D17</f>
        <v>14.345205500000002</v>
      </c>
      <c r="E27" s="38">
        <f>E16-E17</f>
        <v>23.502180500000001</v>
      </c>
      <c r="F27" s="38">
        <f>F16-F17</f>
        <v>31.983586750000001</v>
      </c>
      <c r="G27" s="38">
        <f>SUM(C27:F27)</f>
        <v>75.534265750000003</v>
      </c>
      <c r="H27" s="1"/>
    </row>
    <row r="28" spans="1:8" x14ac:dyDescent="0.2">
      <c r="A28" s="4" t="s">
        <v>7</v>
      </c>
      <c r="B28" s="9"/>
      <c r="C28" s="13">
        <f t="shared" ref="C28:G30" si="1">IF(C$25=0,0,C18/C$25)</f>
        <v>0.47473362169005168</v>
      </c>
      <c r="D28" s="13">
        <f t="shared" si="1"/>
        <v>0.50652859072489875</v>
      </c>
      <c r="E28" s="13">
        <f t="shared" si="1"/>
        <v>0.54462934947049924</v>
      </c>
      <c r="F28" s="13">
        <f t="shared" si="1"/>
        <v>0.53170731707317076</v>
      </c>
      <c r="G28" s="13">
        <f t="shared" si="1"/>
        <v>0.51256083700055377</v>
      </c>
    </row>
    <row r="29" spans="1:8" x14ac:dyDescent="0.2">
      <c r="A29" s="4" t="s">
        <v>8</v>
      </c>
      <c r="B29" s="9"/>
      <c r="C29" s="13">
        <f t="shared" si="1"/>
        <v>0.14547948095790697</v>
      </c>
      <c r="D29" s="13">
        <f t="shared" si="1"/>
        <v>8.8248536695182289E-2</v>
      </c>
      <c r="E29" s="13">
        <f t="shared" si="1"/>
        <v>1.9667170953101363E-2</v>
      </c>
      <c r="F29" s="13">
        <f t="shared" si="1"/>
        <v>0</v>
      </c>
      <c r="G29" s="13">
        <f t="shared" si="1"/>
        <v>6.7773147203683728E-2</v>
      </c>
    </row>
    <row r="30" spans="1:8" x14ac:dyDescent="0.2">
      <c r="A30" s="4" t="s">
        <v>9</v>
      </c>
      <c r="B30" s="9"/>
      <c r="C30" s="13">
        <f t="shared" si="1"/>
        <v>0.37978689735204135</v>
      </c>
      <c r="D30" s="13">
        <f t="shared" si="1"/>
        <v>0.40522287257991896</v>
      </c>
      <c r="E30" s="13">
        <f t="shared" si="1"/>
        <v>0.43570347957639938</v>
      </c>
      <c r="F30" s="13">
        <f t="shared" si="1"/>
        <v>0.4682926829268293</v>
      </c>
      <c r="G30" s="13">
        <f t="shared" si="1"/>
        <v>0.41966601579576257</v>
      </c>
    </row>
    <row r="31" spans="1:8" x14ac:dyDescent="0.2">
      <c r="A31" s="4" t="s">
        <v>20</v>
      </c>
      <c r="B31" s="11"/>
      <c r="C31" s="11"/>
      <c r="D31" s="11"/>
      <c r="E31" s="11"/>
      <c r="F31" s="11"/>
      <c r="G31" s="11"/>
    </row>
    <row r="32" spans="1:8" x14ac:dyDescent="0.2">
      <c r="A32" s="6"/>
      <c r="B32" s="12" t="s">
        <v>47</v>
      </c>
      <c r="C32" s="12" t="s">
        <v>1</v>
      </c>
      <c r="D32" s="12" t="s">
        <v>2</v>
      </c>
      <c r="E32" s="12" t="s">
        <v>3</v>
      </c>
      <c r="F32" s="12" t="s">
        <v>4</v>
      </c>
      <c r="G32" s="12" t="s">
        <v>5</v>
      </c>
      <c r="H32" s="2"/>
    </row>
    <row r="33" spans="1:7" x14ac:dyDescent="0.2">
      <c r="A33" s="8" t="s">
        <v>23</v>
      </c>
      <c r="B33" s="9"/>
      <c r="C33" s="10">
        <f>B22</f>
        <v>8.5457000000000001</v>
      </c>
      <c r="D33" s="10">
        <f>C22</f>
        <v>30.591950000000001</v>
      </c>
      <c r="E33" s="10">
        <f>D22</f>
        <v>50.406949999999995</v>
      </c>
      <c r="F33" s="10">
        <f>E22</f>
        <v>67.891324999999995</v>
      </c>
      <c r="G33" s="24">
        <f>C33</f>
        <v>8.5457000000000001</v>
      </c>
    </row>
    <row r="34" spans="1:7" x14ac:dyDescent="0.2">
      <c r="A34" s="8" t="s">
        <v>10</v>
      </c>
      <c r="B34" s="9"/>
      <c r="C34" s="10">
        <f>C18+C19</f>
        <v>22.046250000000001</v>
      </c>
      <c r="D34" s="10">
        <f>D18+D19</f>
        <v>19.814999999999998</v>
      </c>
      <c r="E34" s="10">
        <f>E18+E19</f>
        <v>17.484375</v>
      </c>
      <c r="F34" s="10">
        <f>F18+F19</f>
        <v>15.328125</v>
      </c>
      <c r="G34" s="10">
        <f>SUM(C34:F34)</f>
        <v>74.673749999999998</v>
      </c>
    </row>
    <row r="35" spans="1:7" x14ac:dyDescent="0.2">
      <c r="A35" s="14" t="s">
        <v>11</v>
      </c>
      <c r="B35" s="9"/>
      <c r="C35" s="15">
        <f>C33+C34</f>
        <v>30.591950000000001</v>
      </c>
      <c r="D35" s="15">
        <f>D33+D34</f>
        <v>50.406949999999995</v>
      </c>
      <c r="E35" s="15">
        <f>E33+E34</f>
        <v>67.891324999999995</v>
      </c>
      <c r="F35" s="15">
        <f>F33+F34</f>
        <v>83.219449999999995</v>
      </c>
      <c r="G35" s="15">
        <f>F35</f>
        <v>83.219449999999995</v>
      </c>
    </row>
    <row r="36" spans="1:7" x14ac:dyDescent="0.2">
      <c r="A36" s="8" t="s">
        <v>12</v>
      </c>
      <c r="B36" s="9"/>
      <c r="C36" s="10">
        <f>SUM($C$18:C18)</f>
        <v>16.875</v>
      </c>
      <c r="D36" s="10">
        <f>SUM($C$18:D18)</f>
        <v>33.75</v>
      </c>
      <c r="E36" s="10">
        <f>SUM($C$18:E18)</f>
        <v>50.625</v>
      </c>
      <c r="F36" s="10">
        <f>SUM($C$18:F18)</f>
        <v>65.953125</v>
      </c>
      <c r="G36" s="24">
        <f>F36</f>
        <v>65.953125</v>
      </c>
    </row>
    <row r="37" spans="1:7" x14ac:dyDescent="0.2">
      <c r="A37" s="8" t="s">
        <v>13</v>
      </c>
      <c r="B37" s="9"/>
      <c r="C37" s="10">
        <f>SUM($C$19:C19)</f>
        <v>5.1712500000000006</v>
      </c>
      <c r="D37" s="10">
        <f>SUM($C$19:D19)</f>
        <v>8.1112499999999983</v>
      </c>
      <c r="E37" s="10">
        <f>SUM($C$19:E19)</f>
        <v>8.7206249999999983</v>
      </c>
      <c r="F37" s="10">
        <f>SUM($C$19:F19)</f>
        <v>8.7206249999999983</v>
      </c>
      <c r="G37" s="24">
        <f>F37</f>
        <v>8.7206249999999983</v>
      </c>
    </row>
    <row r="38" spans="1:7" x14ac:dyDescent="0.2">
      <c r="A38" s="8" t="s">
        <v>95</v>
      </c>
      <c r="C38" s="18">
        <f>(B36+$B$83)*$B$70</f>
        <v>0</v>
      </c>
      <c r="D38" s="18">
        <f>(C36+$B$83)*$B$70</f>
        <v>1.265625</v>
      </c>
      <c r="E38" s="18">
        <f>(D36+$B$83)*$B$70</f>
        <v>2.53125</v>
      </c>
      <c r="F38" s="18">
        <f>(E36+$B$83)*$B$70</f>
        <v>3.796875</v>
      </c>
      <c r="G38" s="10">
        <f>SUM(C38:F38)</f>
        <v>7.59375</v>
      </c>
    </row>
    <row r="39" spans="1:7" x14ac:dyDescent="0.2">
      <c r="A39" s="8" t="s">
        <v>96</v>
      </c>
      <c r="C39" s="18">
        <f>(B37+$B$82-$B$83)*$B$71</f>
        <v>8.5457000000000005E-2</v>
      </c>
      <c r="D39" s="18">
        <f>(C37+$B$82-$B$83)*$B$71</f>
        <v>0.1371695</v>
      </c>
      <c r="E39" s="18">
        <f>(D37+$B$82-$B$83)*$B$71</f>
        <v>0.16656949999999998</v>
      </c>
      <c r="F39" s="18">
        <f>(E37+$B$82-$B$83)*$B$71</f>
        <v>0.17266324999999999</v>
      </c>
      <c r="G39" s="10">
        <f>SUM(C39:F39)</f>
        <v>0.56185924999999992</v>
      </c>
    </row>
    <row r="40" spans="1:7" x14ac:dyDescent="0.2">
      <c r="A40" s="14" t="s">
        <v>97</v>
      </c>
      <c r="C40" s="55">
        <f>C38+C39</f>
        <v>8.5457000000000005E-2</v>
      </c>
      <c r="D40" s="55">
        <f>D38+D39</f>
        <v>1.4027944999999999</v>
      </c>
      <c r="E40" s="55">
        <f>E38+E39</f>
        <v>2.6978195</v>
      </c>
      <c r="F40" s="55">
        <f>F38+F39</f>
        <v>3.9695382499999998</v>
      </c>
      <c r="G40" s="15">
        <f>SUM(C40:F40)</f>
        <v>8.1556092499999995</v>
      </c>
    </row>
    <row r="41" spans="1:7" x14ac:dyDescent="0.2">
      <c r="A41" s="8" t="s">
        <v>98</v>
      </c>
      <c r="C41" s="71">
        <f>IF(C33=0,0,C40/C33)</f>
        <v>0.01</v>
      </c>
      <c r="D41" s="71">
        <f>IF(D33=0,0,D40/D33)</f>
        <v>4.5855020683545834E-2</v>
      </c>
      <c r="E41" s="71">
        <f>IF(E33=0,0,E40/E33)</f>
        <v>5.3520784336286965E-2</v>
      </c>
      <c r="F41" s="71">
        <f>IF(F33=0,0,F40/F33)</f>
        <v>5.8469005428896846E-2</v>
      </c>
      <c r="G41" s="71">
        <f>IF(SUM(C33:F33)=0,0,G40/SUM(C33:F33))</f>
        <v>5.1802720694149061E-2</v>
      </c>
    </row>
    <row r="42" spans="1:7" x14ac:dyDescent="0.2">
      <c r="A42" s="72"/>
    </row>
    <row r="43" spans="1:7" x14ac:dyDescent="0.2">
      <c r="A43" s="4" t="s">
        <v>107</v>
      </c>
    </row>
    <row r="44" spans="1:7" x14ac:dyDescent="0.2">
      <c r="B44" s="12" t="s">
        <v>47</v>
      </c>
      <c r="C44" s="12">
        <v>2027</v>
      </c>
      <c r="D44" s="12">
        <v>2028</v>
      </c>
      <c r="E44" s="12">
        <v>2029</v>
      </c>
      <c r="F44" s="12">
        <v>2030</v>
      </c>
      <c r="G44" s="12" t="s">
        <v>5</v>
      </c>
    </row>
    <row r="45" spans="1:7" x14ac:dyDescent="0.2">
      <c r="A45" t="s">
        <v>108</v>
      </c>
      <c r="B45" s="47">
        <f>$B$84</f>
        <v>8.0420999999999996</v>
      </c>
      <c r="C45" s="18">
        <f>$B$84</f>
        <v>8.0420999999999996</v>
      </c>
      <c r="D45" s="18">
        <f>C48</f>
        <v>13.745393</v>
      </c>
      <c r="E45" s="18">
        <f>D48</f>
        <v>28.090598500000002</v>
      </c>
      <c r="F45" s="10">
        <f>E48</f>
        <v>51.592779000000007</v>
      </c>
      <c r="G45" s="10">
        <f>C45</f>
        <v>8.0420999999999996</v>
      </c>
    </row>
    <row r="46" spans="1:7" x14ac:dyDescent="0.2">
      <c r="A46" t="s">
        <v>109</v>
      </c>
      <c r="C46" s="18">
        <f>C27</f>
        <v>5.7032929999999995</v>
      </c>
      <c r="D46" s="18">
        <f>D27</f>
        <v>14.345205500000002</v>
      </c>
      <c r="E46" s="18">
        <f>E27</f>
        <v>23.502180500000001</v>
      </c>
      <c r="F46" s="18">
        <f>F27</f>
        <v>31.983586750000001</v>
      </c>
      <c r="G46" s="10">
        <f>SUM(C46:F46)</f>
        <v>75.534265750000003</v>
      </c>
    </row>
    <row r="47" spans="1:7" x14ac:dyDescent="0.2">
      <c r="A47" t="s">
        <v>110</v>
      </c>
      <c r="C47" s="18">
        <f>C21</f>
        <v>0</v>
      </c>
      <c r="D47" s="18">
        <f>D21</f>
        <v>0</v>
      </c>
      <c r="E47" s="18">
        <f>E21</f>
        <v>0</v>
      </c>
      <c r="F47" s="18">
        <f>F21</f>
        <v>0</v>
      </c>
      <c r="G47" s="10">
        <f>SUM(C47:F47)</f>
        <v>0</v>
      </c>
    </row>
    <row r="48" spans="1:7" x14ac:dyDescent="0.2">
      <c r="A48" s="58" t="s">
        <v>111</v>
      </c>
      <c r="C48" s="75">
        <f>C45+C46+C47</f>
        <v>13.745393</v>
      </c>
      <c r="D48" s="75">
        <f>D45+D46+D47</f>
        <v>28.090598500000002</v>
      </c>
      <c r="E48" s="75">
        <f>E45+E46+E47</f>
        <v>51.592779000000007</v>
      </c>
      <c r="F48" s="75">
        <f>F45+F46+F47</f>
        <v>83.576365750000008</v>
      </c>
      <c r="G48" s="76">
        <f>F48</f>
        <v>83.576365750000008</v>
      </c>
    </row>
    <row r="49" spans="1:8" x14ac:dyDescent="0.2">
      <c r="A49" s="19" t="s">
        <v>21</v>
      </c>
      <c r="B49" s="11"/>
      <c r="C49" s="11"/>
      <c r="D49" s="11"/>
      <c r="E49" s="11"/>
      <c r="F49" s="11"/>
      <c r="G49" s="11"/>
    </row>
    <row r="50" spans="1:8" x14ac:dyDescent="0.2">
      <c r="A50" s="6"/>
      <c r="B50" s="12" t="s">
        <v>47</v>
      </c>
      <c r="C50" s="12" t="s">
        <v>1</v>
      </c>
      <c r="D50" s="12" t="s">
        <v>2</v>
      </c>
      <c r="E50" s="12" t="s">
        <v>3</v>
      </c>
      <c r="F50" s="12" t="s">
        <v>4</v>
      </c>
      <c r="G50" s="12" t="s">
        <v>5</v>
      </c>
      <c r="H50" s="2"/>
    </row>
    <row r="51" spans="1:8" x14ac:dyDescent="0.2">
      <c r="A51" s="8" t="s">
        <v>14</v>
      </c>
      <c r="B51" s="9"/>
      <c r="C51" s="50">
        <f>B23</f>
        <v>271.85500000000002</v>
      </c>
      <c r="D51" s="50">
        <f>C23</f>
        <v>311.99028277002424</v>
      </c>
      <c r="E51" s="50">
        <f>D23</f>
        <v>331.97940429336103</v>
      </c>
      <c r="F51" s="50">
        <f>E23</f>
        <v>345.219378372954</v>
      </c>
      <c r="G51" s="43">
        <f>C51</f>
        <v>271.85500000000002</v>
      </c>
    </row>
    <row r="52" spans="1:8" x14ac:dyDescent="0.2">
      <c r="A52" s="8" t="s">
        <v>63</v>
      </c>
      <c r="B52" s="9"/>
      <c r="C52" s="54">
        <f>C79</f>
        <v>336.36239907303519</v>
      </c>
      <c r="D52" s="54">
        <f>D79</f>
        <v>675.36734839693099</v>
      </c>
      <c r="E52" s="54">
        <f>E79</f>
        <v>1019.639458419166</v>
      </c>
      <c r="F52" s="54">
        <f>F79</f>
        <v>1325.4685387494708</v>
      </c>
      <c r="G52" s="16">
        <f>IF(G53=0,0,G20*1000/G53)</f>
        <v>646.32377714330426</v>
      </c>
    </row>
    <row r="53" spans="1:8" x14ac:dyDescent="0.2">
      <c r="A53" s="8" t="s">
        <v>31</v>
      </c>
      <c r="B53" s="9"/>
      <c r="C53" s="17">
        <f>IF(C52=0,0,C20*1000/C52)</f>
        <v>40.135282770024219</v>
      </c>
      <c r="D53" s="17">
        <f>IF(D52=0,0,D20*1000/D52)</f>
        <v>19.989121523336806</v>
      </c>
      <c r="E53" s="17">
        <f>IF(E52=0,0,E20*1000/E52)</f>
        <v>13.239974079592997</v>
      </c>
      <c r="F53" s="36">
        <f>IF(F52=0,0,F20*1000/F52)</f>
        <v>10.185077657698868</v>
      </c>
      <c r="G53" s="17">
        <f>SUM(C53:F53)</f>
        <v>83.549456030652891</v>
      </c>
      <c r="H53" s="1"/>
    </row>
    <row r="54" spans="1:8" x14ac:dyDescent="0.2">
      <c r="A54" s="8" t="s">
        <v>15</v>
      </c>
      <c r="B54" s="9"/>
      <c r="C54" s="13">
        <f>C23/C51-1</f>
        <v>0.14763488907698674</v>
      </c>
      <c r="D54" s="13">
        <f>D23/D51-1</f>
        <v>6.406969263870077E-2</v>
      </c>
      <c r="E54" s="13">
        <f>E23/E51-1</f>
        <v>3.9881914083721881E-2</v>
      </c>
      <c r="F54" s="13">
        <f>F23/F51-1</f>
        <v>2.9503203747431428E-2</v>
      </c>
      <c r="G54" s="25">
        <f>F23/C51-1</f>
        <v>0.30733095227475249</v>
      </c>
    </row>
    <row r="55" spans="1:8" x14ac:dyDescent="0.2">
      <c r="A55" s="4" t="s">
        <v>22</v>
      </c>
      <c r="B55" s="34">
        <v>0.4</v>
      </c>
      <c r="C55" s="9"/>
      <c r="D55" s="9"/>
      <c r="E55" s="9"/>
      <c r="F55" s="9"/>
      <c r="G55" s="9"/>
    </row>
    <row r="56" spans="1:8" x14ac:dyDescent="0.2">
      <c r="A56" s="4" t="s">
        <v>6</v>
      </c>
      <c r="B56" s="11"/>
      <c r="C56" s="11"/>
      <c r="D56" s="11"/>
      <c r="E56" s="11"/>
      <c r="F56" s="11"/>
      <c r="G56" s="11"/>
      <c r="H56" s="2"/>
    </row>
    <row r="57" spans="1:8" x14ac:dyDescent="0.2">
      <c r="A57" s="6"/>
      <c r="B57" s="12" t="s">
        <v>47</v>
      </c>
      <c r="C57" s="12">
        <v>2027</v>
      </c>
      <c r="D57" s="12">
        <v>2028</v>
      </c>
      <c r="E57" s="12">
        <v>2029</v>
      </c>
      <c r="F57" s="12">
        <v>2030</v>
      </c>
      <c r="G57" s="12" t="s">
        <v>5</v>
      </c>
    </row>
    <row r="58" spans="1:8" x14ac:dyDescent="0.2">
      <c r="A58" s="4" t="s">
        <v>16</v>
      </c>
      <c r="B58" s="9"/>
      <c r="C58" s="21">
        <f>C52*(1+$B$55)</f>
        <v>470.90735870224921</v>
      </c>
      <c r="D58" s="21">
        <f>D52*(1+$B$55)</f>
        <v>945.51428775570332</v>
      </c>
      <c r="E58" s="21">
        <f>E52*(1+$B$55)</f>
        <v>1427.4952417868324</v>
      </c>
      <c r="F58" s="21">
        <f>F52*(1+$B$55)</f>
        <v>1855.6559542492589</v>
      </c>
      <c r="G58" s="26">
        <f>IF(G59=0,0,G19*1000/G59)</f>
        <v>600.68658093382874</v>
      </c>
    </row>
    <row r="59" spans="1:8" x14ac:dyDescent="0.2">
      <c r="A59" s="4" t="s">
        <v>17</v>
      </c>
      <c r="B59" s="9"/>
      <c r="C59" s="17">
        <f>IF(C58=0,0,C19*1000/C58)</f>
        <v>10.981459313464963</v>
      </c>
      <c r="D59" s="17">
        <f>IF(D58=0,0,D19*1000/D58)</f>
        <v>3.1094189036301674</v>
      </c>
      <c r="E59" s="17">
        <f>IF(E58=0,0,E19*1000/E58)</f>
        <v>0.42688408490751234</v>
      </c>
      <c r="F59" s="17">
        <f>IF(F58=0,0,F19*1000/F58)</f>
        <v>0</v>
      </c>
      <c r="G59" s="17">
        <f>SUM(C59:F59)</f>
        <v>14.517762302002643</v>
      </c>
    </row>
    <row r="60" spans="1:8" x14ac:dyDescent="0.2">
      <c r="A60" s="19" t="s">
        <v>18</v>
      </c>
      <c r="B60" s="9"/>
      <c r="C60" s="51">
        <f>C23+SUM($C$59:C59)</f>
        <v>322.97174208348918</v>
      </c>
      <c r="D60" s="51">
        <f>D23+SUM($C$59:D59)</f>
        <v>346.07028251045614</v>
      </c>
      <c r="E60" s="51">
        <f>E23+SUM($C$59:E59)</f>
        <v>359.73714067495666</v>
      </c>
      <c r="F60" s="51">
        <f>F23+SUM($C$59:F59)</f>
        <v>369.92221833265552</v>
      </c>
      <c r="G60" s="52">
        <f>F60</f>
        <v>369.92221833265552</v>
      </c>
    </row>
    <row r="61" spans="1:8" x14ac:dyDescent="0.2">
      <c r="A61" s="4" t="s">
        <v>48</v>
      </c>
      <c r="B61" s="9"/>
      <c r="C61" s="13">
        <f>C60/$B$23-1</f>
        <v>0.18802943511610648</v>
      </c>
      <c r="D61" s="13">
        <f>D60/$B$23-1</f>
        <v>0.27299583421476936</v>
      </c>
      <c r="E61" s="13">
        <f>E60/$B$23-1</f>
        <v>0.32326843602272026</v>
      </c>
      <c r="F61" s="13">
        <f>F60/$B$23-1</f>
        <v>0.36073354667986801</v>
      </c>
      <c r="G61" s="25">
        <f>F61</f>
        <v>0.36073354667986801</v>
      </c>
    </row>
    <row r="63" spans="1:8" x14ac:dyDescent="0.2">
      <c r="A63" s="27" t="s">
        <v>24</v>
      </c>
    </row>
    <row r="64" spans="1:8" x14ac:dyDescent="0.2">
      <c r="A64" s="28" t="s">
        <v>65</v>
      </c>
      <c r="B64" s="29">
        <v>0.2</v>
      </c>
    </row>
    <row r="65" spans="1:7" x14ac:dyDescent="0.2">
      <c r="A65" s="28" t="s">
        <v>25</v>
      </c>
      <c r="B65" s="29">
        <v>0.45</v>
      </c>
    </row>
    <row r="66" spans="1:7" x14ac:dyDescent="0.2">
      <c r="A66" s="28" t="s">
        <v>43</v>
      </c>
      <c r="B66" s="32">
        <v>270</v>
      </c>
    </row>
    <row r="67" spans="1:7" x14ac:dyDescent="0.2">
      <c r="A67" s="28" t="s">
        <v>66</v>
      </c>
      <c r="B67" s="29">
        <v>0.15</v>
      </c>
    </row>
    <row r="68" spans="1:7" x14ac:dyDescent="0.2">
      <c r="A68" s="28" t="s">
        <v>56</v>
      </c>
      <c r="B68" s="29">
        <v>0.25</v>
      </c>
    </row>
    <row r="69" spans="1:7" x14ac:dyDescent="0.2">
      <c r="A69" s="28" t="s">
        <v>64</v>
      </c>
      <c r="B69" s="39">
        <v>9.5</v>
      </c>
    </row>
    <row r="70" spans="1:7" x14ac:dyDescent="0.2">
      <c r="A70" s="28" t="s">
        <v>93</v>
      </c>
      <c r="B70" s="70">
        <v>7.4999999999999997E-2</v>
      </c>
    </row>
    <row r="71" spans="1:7" x14ac:dyDescent="0.2">
      <c r="A71" s="28" t="s">
        <v>94</v>
      </c>
      <c r="B71" s="61">
        <v>0.01</v>
      </c>
    </row>
    <row r="73" spans="1:7" x14ac:dyDescent="0.2">
      <c r="A73" s="27" t="s">
        <v>58</v>
      </c>
    </row>
    <row r="74" spans="1:7" x14ac:dyDescent="0.2">
      <c r="A74" s="9"/>
      <c r="B74" s="9"/>
      <c r="C74" s="22">
        <v>2027</v>
      </c>
      <c r="D74" s="22">
        <v>2028</v>
      </c>
      <c r="E74" s="22">
        <v>2029</v>
      </c>
      <c r="F74" s="22">
        <v>2030</v>
      </c>
      <c r="G74" s="9"/>
    </row>
    <row r="75" spans="1:7" x14ac:dyDescent="0.2">
      <c r="A75" s="28" t="s">
        <v>33</v>
      </c>
      <c r="C75" s="24">
        <f>C9</f>
        <v>10.524999999999999</v>
      </c>
      <c r="D75" s="24">
        <f>D9</f>
        <v>25.4</v>
      </c>
      <c r="E75" s="24">
        <f>E9</f>
        <v>40.9375</v>
      </c>
      <c r="F75" s="24">
        <f>F9</f>
        <v>55.3125</v>
      </c>
    </row>
    <row r="76" spans="1:7" x14ac:dyDescent="0.2">
      <c r="A76" s="28" t="s">
        <v>59</v>
      </c>
      <c r="C76" s="24">
        <f>C75*$B$69</f>
        <v>99.987499999999983</v>
      </c>
      <c r="D76" s="24">
        <f>D75*$B$69</f>
        <v>241.29999999999998</v>
      </c>
      <c r="E76" s="24">
        <f>E75*$B$69</f>
        <v>388.90625</v>
      </c>
      <c r="F76" s="24">
        <f>F75*$B$69</f>
        <v>525.46875</v>
      </c>
    </row>
    <row r="77" spans="1:7" x14ac:dyDescent="0.2">
      <c r="A77" s="28" t="s">
        <v>60</v>
      </c>
      <c r="C77" s="24">
        <f>C33</f>
        <v>8.5457000000000001</v>
      </c>
      <c r="D77" s="24">
        <f>D33</f>
        <v>30.591950000000001</v>
      </c>
      <c r="E77" s="24">
        <f>E33</f>
        <v>50.406949999999995</v>
      </c>
      <c r="F77" s="24">
        <f>F33</f>
        <v>67.891324999999995</v>
      </c>
    </row>
    <row r="78" spans="1:7" x14ac:dyDescent="0.2">
      <c r="A78" s="28" t="s">
        <v>61</v>
      </c>
      <c r="C78" s="40">
        <f>C76-C77</f>
        <v>91.441799999999986</v>
      </c>
      <c r="D78" s="40">
        <f>D76-D77</f>
        <v>210.70804999999999</v>
      </c>
      <c r="E78" s="40">
        <f>E76-E77</f>
        <v>338.49930000000001</v>
      </c>
      <c r="F78" s="40">
        <f>F76-F77</f>
        <v>457.57742500000001</v>
      </c>
    </row>
    <row r="79" spans="1:7" x14ac:dyDescent="0.2">
      <c r="A79" s="28" t="s">
        <v>62</v>
      </c>
      <c r="C79" s="40">
        <f>IF(C51=0,0,C78*1000/C51)</f>
        <v>336.36239907303519</v>
      </c>
      <c r="D79" s="40">
        <f>IF(D51=0,0,D78*1000/D51)</f>
        <v>675.36734839693099</v>
      </c>
      <c r="E79" s="40">
        <f>IF(E51=0,0,E78*1000/E51)</f>
        <v>1019.639458419166</v>
      </c>
      <c r="F79" s="40">
        <f>IF(F51=0,0,F78*1000/F51)</f>
        <v>1325.4685387494708</v>
      </c>
    </row>
    <row r="81" spans="1:2" x14ac:dyDescent="0.2">
      <c r="A81" s="27" t="s">
        <v>34</v>
      </c>
    </row>
    <row r="82" spans="1:2" x14ac:dyDescent="0.2">
      <c r="A82" s="28" t="s">
        <v>35</v>
      </c>
      <c r="B82" s="42">
        <v>8.5457000000000001</v>
      </c>
    </row>
    <row r="83" spans="1:2" x14ac:dyDescent="0.2">
      <c r="A83" s="28" t="s">
        <v>36</v>
      </c>
      <c r="B83" s="24">
        <v>0</v>
      </c>
    </row>
    <row r="84" spans="1:2" x14ac:dyDescent="0.2">
      <c r="A84" s="28" t="s">
        <v>37</v>
      </c>
      <c r="B84" s="42">
        <v>8.0420999999999996</v>
      </c>
    </row>
    <row r="85" spans="1:2" x14ac:dyDescent="0.2">
      <c r="A85" s="28" t="s">
        <v>38</v>
      </c>
      <c r="B85" s="43">
        <v>271.85500000000002</v>
      </c>
    </row>
    <row r="86" spans="1:2" x14ac:dyDescent="0.2">
      <c r="A86" s="28" t="s">
        <v>39</v>
      </c>
      <c r="B86" s="42">
        <v>2</v>
      </c>
    </row>
    <row r="87" spans="1:2" x14ac:dyDescent="0.2">
      <c r="A87" s="28" t="s">
        <v>40</v>
      </c>
      <c r="B87" s="42">
        <v>5.9752000000000001</v>
      </c>
    </row>
    <row r="88" spans="1:2" x14ac:dyDescent="0.2">
      <c r="A88" s="28" t="s">
        <v>41</v>
      </c>
      <c r="B88" s="42">
        <v>8.5</v>
      </c>
    </row>
    <row r="89" spans="1:2" x14ac:dyDescent="0.2">
      <c r="A89" s="41" t="s">
        <v>42</v>
      </c>
      <c r="B89" s="44">
        <v>9</v>
      </c>
    </row>
  </sheetData>
  <conditionalFormatting sqref="C26:G26">
    <cfRule type="cellIs" dxfId="0" priority="1" operator="notBetween">
      <formula>0.0001</formula>
      <formula>-0.0001</formula>
    </cfRule>
  </conditionalFormatting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8BC5-2A53-4D4F-BB05-DE72CEADFD58}">
  <dimension ref="A1:M39"/>
  <sheetViews>
    <sheetView topLeftCell="A27" workbookViewId="0">
      <pane xSplit="3" topLeftCell="D1" activePane="topRight" state="frozen"/>
      <selection pane="topRight" activeCell="G39" sqref="G39"/>
    </sheetView>
  </sheetViews>
  <sheetFormatPr baseColWidth="10" defaultRowHeight="15" x14ac:dyDescent="0.2"/>
  <cols>
    <col min="1" max="1" width="50" customWidth="1"/>
    <col min="2" max="3" width="11.6640625" customWidth="1"/>
    <col min="4" max="13" width="10.33203125" customWidth="1"/>
  </cols>
  <sheetData>
    <row r="1" spans="1:13" ht="17" x14ac:dyDescent="0.2">
      <c r="A1" s="56" t="s">
        <v>69</v>
      </c>
    </row>
    <row r="2" spans="1:13" x14ac:dyDescent="0.2">
      <c r="A2" s="57" t="s">
        <v>70</v>
      </c>
    </row>
    <row r="4" spans="1:13" x14ac:dyDescent="0.2">
      <c r="A4" s="59" t="s">
        <v>24</v>
      </c>
      <c r="B4" s="60"/>
    </row>
    <row r="5" spans="1:13" x14ac:dyDescent="0.2">
      <c r="A5" t="s">
        <v>71</v>
      </c>
      <c r="B5" s="61">
        <v>0.64</v>
      </c>
    </row>
    <row r="6" spans="1:13" x14ac:dyDescent="0.2">
      <c r="A6" t="s">
        <v>72</v>
      </c>
      <c r="B6" s="62">
        <v>5</v>
      </c>
    </row>
    <row r="7" spans="1:13" x14ac:dyDescent="0.2">
      <c r="A7" t="s">
        <v>73</v>
      </c>
      <c r="B7" s="61">
        <v>0</v>
      </c>
    </row>
    <row r="8" spans="1:13" x14ac:dyDescent="0.2">
      <c r="A8" t="s">
        <v>103</v>
      </c>
      <c r="B8" s="61">
        <v>0.22</v>
      </c>
    </row>
    <row r="9" spans="1:13" x14ac:dyDescent="0.2">
      <c r="A9" s="57"/>
    </row>
    <row r="10" spans="1:13" x14ac:dyDescent="0.2">
      <c r="A10" s="59" t="s">
        <v>74</v>
      </c>
      <c r="D10" s="68">
        <v>2027</v>
      </c>
      <c r="E10" s="68">
        <v>2028</v>
      </c>
      <c r="F10" s="68">
        <v>2029</v>
      </c>
      <c r="G10" s="68">
        <v>2030</v>
      </c>
      <c r="H10" s="68">
        <v>2031</v>
      </c>
      <c r="I10" s="68">
        <v>2032</v>
      </c>
      <c r="J10" s="68">
        <v>2033</v>
      </c>
      <c r="K10" s="68">
        <v>2034</v>
      </c>
      <c r="L10" s="68">
        <v>2035</v>
      </c>
      <c r="M10" s="68">
        <v>2036</v>
      </c>
    </row>
    <row r="11" spans="1:13" x14ac:dyDescent="0.2">
      <c r="A11" t="s">
        <v>75</v>
      </c>
      <c r="D11" s="64">
        <f>'Debt Equity'!C11</f>
        <v>67.5</v>
      </c>
      <c r="E11" s="64">
        <f>'Debt Equity'!D11</f>
        <v>67.5</v>
      </c>
      <c r="F11" s="64">
        <f>'Debt Equity'!E11</f>
        <v>67.5</v>
      </c>
      <c r="G11" s="64">
        <f>'Debt Equity'!F11</f>
        <v>67.5</v>
      </c>
      <c r="H11" s="77">
        <v>0</v>
      </c>
      <c r="I11" s="77">
        <v>0</v>
      </c>
      <c r="J11" s="77">
        <v>0</v>
      </c>
      <c r="K11" s="77">
        <v>0</v>
      </c>
      <c r="L11" s="77">
        <v>0</v>
      </c>
      <c r="M11" s="77">
        <v>0</v>
      </c>
    </row>
    <row r="12" spans="1:13" x14ac:dyDescent="0.2">
      <c r="A12" t="s">
        <v>76</v>
      </c>
      <c r="D12" s="65">
        <f>D11*$B$5</f>
        <v>43.2</v>
      </c>
      <c r="E12" s="65">
        <f t="shared" ref="E12:M12" si="0">E11*$B$5</f>
        <v>43.2</v>
      </c>
      <c r="F12" s="65">
        <f t="shared" si="0"/>
        <v>43.2</v>
      </c>
      <c r="G12" s="65">
        <f t="shared" si="0"/>
        <v>43.2</v>
      </c>
      <c r="H12" s="65">
        <f t="shared" si="0"/>
        <v>0</v>
      </c>
      <c r="I12" s="65">
        <f t="shared" si="0"/>
        <v>0</v>
      </c>
      <c r="J12" s="65">
        <f t="shared" si="0"/>
        <v>0</v>
      </c>
      <c r="K12" s="65">
        <f t="shared" si="0"/>
        <v>0</v>
      </c>
      <c r="L12" s="65">
        <f t="shared" si="0"/>
        <v>0</v>
      </c>
      <c r="M12" s="65">
        <f t="shared" si="0"/>
        <v>0</v>
      </c>
    </row>
    <row r="13" spans="1:13" x14ac:dyDescent="0.2">
      <c r="A13" t="s">
        <v>77</v>
      </c>
      <c r="D13" s="65">
        <f>IF($B$6=0,0,D12*(1-$B$7)/$B$6)</f>
        <v>8.64</v>
      </c>
      <c r="E13" s="65">
        <f t="shared" ref="E13:M13" si="1">IF($B$6=0,0,E12*(1-$B$7)/$B$6)</f>
        <v>8.64</v>
      </c>
      <c r="F13" s="65">
        <f t="shared" si="1"/>
        <v>8.64</v>
      </c>
      <c r="G13" s="65">
        <f t="shared" si="1"/>
        <v>8.64</v>
      </c>
      <c r="H13" s="65">
        <f t="shared" si="1"/>
        <v>0</v>
      </c>
      <c r="I13" s="65">
        <f t="shared" si="1"/>
        <v>0</v>
      </c>
      <c r="J13" s="65">
        <f t="shared" si="1"/>
        <v>0</v>
      </c>
      <c r="K13" s="65">
        <f t="shared" si="1"/>
        <v>0</v>
      </c>
      <c r="L13" s="65">
        <f t="shared" si="1"/>
        <v>0</v>
      </c>
      <c r="M13" s="65">
        <f t="shared" si="1"/>
        <v>0</v>
      </c>
    </row>
    <row r="15" spans="1:13" x14ac:dyDescent="0.2">
      <c r="A15" s="59" t="s">
        <v>78</v>
      </c>
      <c r="B15" s="63" t="s">
        <v>79</v>
      </c>
      <c r="C15" s="63" t="s">
        <v>80</v>
      </c>
    </row>
    <row r="16" spans="1:13" x14ac:dyDescent="0.2">
      <c r="A16" t="s">
        <v>81</v>
      </c>
      <c r="B16" s="66">
        <f>D$10</f>
        <v>2027</v>
      </c>
      <c r="C16" s="65">
        <f>D$13</f>
        <v>8.64</v>
      </c>
      <c r="D16" s="65">
        <f>IF(AND(D$10&gt;=$B16,D$10&lt;=$B16+$B$6-1),$C16,0)</f>
        <v>8.64</v>
      </c>
      <c r="E16" s="65">
        <f t="shared" ref="E16:M19" si="2">IF(AND(E$10&gt;=$B16,E$10&lt;=$B16+$B$6-1),$C16,0)</f>
        <v>8.64</v>
      </c>
      <c r="F16" s="65">
        <f t="shared" si="2"/>
        <v>8.64</v>
      </c>
      <c r="G16" s="65">
        <f t="shared" si="2"/>
        <v>8.64</v>
      </c>
      <c r="H16" s="65">
        <f t="shared" si="2"/>
        <v>8.64</v>
      </c>
      <c r="I16" s="65">
        <f t="shared" si="2"/>
        <v>0</v>
      </c>
      <c r="J16" s="65">
        <f t="shared" si="2"/>
        <v>0</v>
      </c>
      <c r="K16" s="65">
        <f t="shared" si="2"/>
        <v>0</v>
      </c>
      <c r="L16" s="65">
        <f t="shared" si="2"/>
        <v>0</v>
      </c>
      <c r="M16" s="65">
        <f t="shared" si="2"/>
        <v>0</v>
      </c>
    </row>
    <row r="17" spans="1:13" x14ac:dyDescent="0.2">
      <c r="A17" t="s">
        <v>82</v>
      </c>
      <c r="B17" s="66">
        <f>E$10</f>
        <v>2028</v>
      </c>
      <c r="C17" s="65">
        <f>E$13</f>
        <v>8.64</v>
      </c>
      <c r="D17" s="65">
        <f t="shared" ref="D17:D19" si="3">IF(AND(D$10&gt;=$B17,D$10&lt;=$B17+$B$6-1),$C17,0)</f>
        <v>0</v>
      </c>
      <c r="E17" s="65">
        <f t="shared" si="2"/>
        <v>8.64</v>
      </c>
      <c r="F17" s="65">
        <f t="shared" si="2"/>
        <v>8.64</v>
      </c>
      <c r="G17" s="65">
        <f t="shared" si="2"/>
        <v>8.64</v>
      </c>
      <c r="H17" s="65">
        <f t="shared" si="2"/>
        <v>8.64</v>
      </c>
      <c r="I17" s="65">
        <f t="shared" si="2"/>
        <v>8.64</v>
      </c>
      <c r="J17" s="65">
        <f t="shared" si="2"/>
        <v>0</v>
      </c>
      <c r="K17" s="65">
        <f t="shared" si="2"/>
        <v>0</v>
      </c>
      <c r="L17" s="65">
        <f t="shared" si="2"/>
        <v>0</v>
      </c>
      <c r="M17" s="65">
        <f t="shared" si="2"/>
        <v>0</v>
      </c>
    </row>
    <row r="18" spans="1:13" x14ac:dyDescent="0.2">
      <c r="A18" t="s">
        <v>83</v>
      </c>
      <c r="B18" s="66">
        <f>F$10</f>
        <v>2029</v>
      </c>
      <c r="C18" s="65">
        <f>F$13</f>
        <v>8.64</v>
      </c>
      <c r="D18" s="65">
        <f t="shared" si="3"/>
        <v>0</v>
      </c>
      <c r="E18" s="65">
        <f t="shared" si="2"/>
        <v>0</v>
      </c>
      <c r="F18" s="65">
        <f t="shared" si="2"/>
        <v>8.64</v>
      </c>
      <c r="G18" s="65">
        <f t="shared" si="2"/>
        <v>8.64</v>
      </c>
      <c r="H18" s="65">
        <f t="shared" si="2"/>
        <v>8.64</v>
      </c>
      <c r="I18" s="65">
        <f t="shared" si="2"/>
        <v>8.64</v>
      </c>
      <c r="J18" s="65">
        <f t="shared" si="2"/>
        <v>8.64</v>
      </c>
      <c r="K18" s="65">
        <f t="shared" si="2"/>
        <v>0</v>
      </c>
      <c r="L18" s="65">
        <f t="shared" si="2"/>
        <v>0</v>
      </c>
      <c r="M18" s="65">
        <f t="shared" si="2"/>
        <v>0</v>
      </c>
    </row>
    <row r="19" spans="1:13" x14ac:dyDescent="0.2">
      <c r="A19" t="s">
        <v>84</v>
      </c>
      <c r="B19" s="66">
        <f>G$10</f>
        <v>2030</v>
      </c>
      <c r="C19" s="65">
        <f>G$13</f>
        <v>8.64</v>
      </c>
      <c r="D19" s="65">
        <f t="shared" si="3"/>
        <v>0</v>
      </c>
      <c r="E19" s="65">
        <f t="shared" si="2"/>
        <v>0</v>
      </c>
      <c r="F19" s="65">
        <f t="shared" si="2"/>
        <v>0</v>
      </c>
      <c r="G19" s="65">
        <f t="shared" si="2"/>
        <v>8.64</v>
      </c>
      <c r="H19" s="65">
        <f t="shared" si="2"/>
        <v>8.64</v>
      </c>
      <c r="I19" s="65">
        <f t="shared" si="2"/>
        <v>8.64</v>
      </c>
      <c r="J19" s="65">
        <f t="shared" si="2"/>
        <v>8.64</v>
      </c>
      <c r="K19" s="65">
        <f t="shared" si="2"/>
        <v>8.64</v>
      </c>
      <c r="L19" s="65">
        <f t="shared" si="2"/>
        <v>0</v>
      </c>
      <c r="M19" s="65">
        <f t="shared" si="2"/>
        <v>0</v>
      </c>
    </row>
    <row r="21" spans="1:13" x14ac:dyDescent="0.2">
      <c r="A21" s="58" t="s">
        <v>85</v>
      </c>
      <c r="D21" s="69">
        <f>SUM(D16:D19)</f>
        <v>8.64</v>
      </c>
      <c r="E21" s="69">
        <f t="shared" ref="E21:M21" si="4">SUM(E16:E19)</f>
        <v>17.28</v>
      </c>
      <c r="F21" s="69">
        <f t="shared" si="4"/>
        <v>25.92</v>
      </c>
      <c r="G21" s="69">
        <f t="shared" si="4"/>
        <v>34.56</v>
      </c>
      <c r="H21" s="69">
        <f t="shared" si="4"/>
        <v>34.56</v>
      </c>
      <c r="I21" s="69">
        <f t="shared" si="4"/>
        <v>25.92</v>
      </c>
      <c r="J21" s="69">
        <f t="shared" si="4"/>
        <v>17.28</v>
      </c>
      <c r="K21" s="69">
        <f t="shared" si="4"/>
        <v>8.64</v>
      </c>
      <c r="L21" s="69">
        <f t="shared" si="4"/>
        <v>0</v>
      </c>
      <c r="M21" s="69">
        <f t="shared" si="4"/>
        <v>0</v>
      </c>
    </row>
    <row r="22" spans="1:13" x14ac:dyDescent="0.2">
      <c r="A22" t="s">
        <v>86</v>
      </c>
      <c r="D22" s="65">
        <f>SUM($D$21:D21)</f>
        <v>8.64</v>
      </c>
      <c r="E22" s="65">
        <f>SUM($D$21:E21)</f>
        <v>25.92</v>
      </c>
      <c r="F22" s="65">
        <f>SUM($D$21:F21)</f>
        <v>51.84</v>
      </c>
      <c r="G22" s="65">
        <f>SUM($D$21:G21)</f>
        <v>86.4</v>
      </c>
      <c r="H22" s="65">
        <f>SUM($D$21:H21)</f>
        <v>120.96000000000001</v>
      </c>
      <c r="I22" s="65">
        <f>SUM($D$21:I21)</f>
        <v>146.88</v>
      </c>
      <c r="J22" s="65">
        <f>SUM($D$21:J21)</f>
        <v>164.16</v>
      </c>
      <c r="K22" s="65">
        <f>SUM($D$21:K21)</f>
        <v>172.8</v>
      </c>
      <c r="L22" s="65">
        <f>SUM($D$21:L21)</f>
        <v>172.8</v>
      </c>
      <c r="M22" s="65">
        <f>SUM($D$21:M21)</f>
        <v>172.8</v>
      </c>
    </row>
    <row r="24" spans="1:13" x14ac:dyDescent="0.2">
      <c r="A24" s="59" t="s">
        <v>87</v>
      </c>
    </row>
    <row r="25" spans="1:13" x14ac:dyDescent="0.2">
      <c r="A25" t="s">
        <v>88</v>
      </c>
      <c r="D25" s="65">
        <f>SUM($D$12:D12)</f>
        <v>43.2</v>
      </c>
      <c r="E25" s="65">
        <f>SUM($D$12:E12)</f>
        <v>86.4</v>
      </c>
      <c r="F25" s="65">
        <f>SUM($D$12:F12)</f>
        <v>129.60000000000002</v>
      </c>
      <c r="G25" s="65">
        <f>SUM($D$12:G12)</f>
        <v>172.8</v>
      </c>
      <c r="H25" s="65">
        <f>SUM($D$12:H12)</f>
        <v>172.8</v>
      </c>
      <c r="I25" s="65">
        <f>SUM($D$12:I12)</f>
        <v>172.8</v>
      </c>
      <c r="J25" s="65">
        <f>SUM($D$12:J12)</f>
        <v>172.8</v>
      </c>
      <c r="K25" s="65">
        <f>SUM($D$12:K12)</f>
        <v>172.8</v>
      </c>
      <c r="L25" s="65">
        <f>SUM($D$12:L12)</f>
        <v>172.8</v>
      </c>
      <c r="M25" s="65">
        <f>SUM($D$12:M12)</f>
        <v>172.8</v>
      </c>
    </row>
    <row r="26" spans="1:13" x14ac:dyDescent="0.2">
      <c r="A26" t="s">
        <v>89</v>
      </c>
      <c r="D26" s="65">
        <f>-D22</f>
        <v>-8.64</v>
      </c>
      <c r="E26" s="65">
        <f t="shared" ref="E26:M26" si="5">-E22</f>
        <v>-25.92</v>
      </c>
      <c r="F26" s="65">
        <f t="shared" si="5"/>
        <v>-51.84</v>
      </c>
      <c r="G26" s="65">
        <f t="shared" si="5"/>
        <v>-86.4</v>
      </c>
      <c r="H26" s="65">
        <f t="shared" si="5"/>
        <v>-120.96000000000001</v>
      </c>
      <c r="I26" s="65">
        <f t="shared" si="5"/>
        <v>-146.88</v>
      </c>
      <c r="J26" s="65">
        <f t="shared" si="5"/>
        <v>-164.16</v>
      </c>
      <c r="K26" s="65">
        <f t="shared" si="5"/>
        <v>-172.8</v>
      </c>
      <c r="L26" s="65">
        <f t="shared" si="5"/>
        <v>-172.8</v>
      </c>
      <c r="M26" s="65">
        <f t="shared" si="5"/>
        <v>-172.8</v>
      </c>
    </row>
    <row r="27" spans="1:13" x14ac:dyDescent="0.2">
      <c r="A27" s="58" t="s">
        <v>90</v>
      </c>
      <c r="D27" s="69">
        <f>D25+D26</f>
        <v>34.56</v>
      </c>
      <c r="E27" s="69">
        <f t="shared" ref="E27:M27" si="6">E25+E26</f>
        <v>60.480000000000004</v>
      </c>
      <c r="F27" s="69">
        <f t="shared" si="6"/>
        <v>77.760000000000019</v>
      </c>
      <c r="G27" s="69">
        <f t="shared" si="6"/>
        <v>86.4</v>
      </c>
      <c r="H27" s="69">
        <f t="shared" si="6"/>
        <v>51.84</v>
      </c>
      <c r="I27" s="69">
        <f t="shared" si="6"/>
        <v>25.920000000000016</v>
      </c>
      <c r="J27" s="69">
        <f t="shared" si="6"/>
        <v>8.6400000000000148</v>
      </c>
      <c r="K27" s="69">
        <f t="shared" si="6"/>
        <v>0</v>
      </c>
      <c r="L27" s="69">
        <f t="shared" si="6"/>
        <v>0</v>
      </c>
      <c r="M27" s="69">
        <f t="shared" si="6"/>
        <v>0</v>
      </c>
    </row>
    <row r="29" spans="1:13" x14ac:dyDescent="0.2">
      <c r="A29" t="s">
        <v>91</v>
      </c>
      <c r="D29" s="65">
        <f>SUM(D21:M21)-SUM(D12:M12)*(1-$B$7)</f>
        <v>0</v>
      </c>
    </row>
    <row r="31" spans="1:13" x14ac:dyDescent="0.2">
      <c r="A31" t="s">
        <v>112</v>
      </c>
      <c r="D31" s="64">
        <f>'Debt Equity'!C9</f>
        <v>10.524999999999999</v>
      </c>
      <c r="E31" s="64">
        <f>'Debt Equity'!D9</f>
        <v>25.4</v>
      </c>
      <c r="F31" s="64">
        <f>'Debt Equity'!E9</f>
        <v>40.9375</v>
      </c>
      <c r="G31" s="64">
        <f>'Debt Equity'!F9</f>
        <v>55.3125</v>
      </c>
    </row>
    <row r="32" spans="1:13" x14ac:dyDescent="0.2">
      <c r="A32" s="58" t="s">
        <v>92</v>
      </c>
      <c r="D32" s="67">
        <f>D31-D21</f>
        <v>1.884999999999998</v>
      </c>
      <c r="E32" s="67">
        <f t="shared" ref="E32:G32" si="7">E31-E21</f>
        <v>8.1199999999999974</v>
      </c>
      <c r="F32" s="67">
        <f t="shared" si="7"/>
        <v>15.017499999999998</v>
      </c>
      <c r="G32" s="67">
        <f t="shared" si="7"/>
        <v>20.752499999999998</v>
      </c>
    </row>
    <row r="33" spans="1:7" x14ac:dyDescent="0.2">
      <c r="A33" t="s">
        <v>113</v>
      </c>
      <c r="D33" s="64">
        <f>-'Debt Equity'!C40</f>
        <v>-8.5457000000000005E-2</v>
      </c>
      <c r="E33" s="64">
        <f>-'Debt Equity'!D40</f>
        <v>-1.4027944999999999</v>
      </c>
      <c r="F33" s="64">
        <f>-'Debt Equity'!E40</f>
        <v>-2.6978195</v>
      </c>
      <c r="G33" s="64">
        <f>-'Debt Equity'!F40</f>
        <v>-3.9695382499999998</v>
      </c>
    </row>
    <row r="34" spans="1:7" x14ac:dyDescent="0.2">
      <c r="A34" s="58" t="s">
        <v>102</v>
      </c>
      <c r="D34" s="69">
        <f>D32+D33</f>
        <v>1.7995429999999981</v>
      </c>
      <c r="E34" s="69">
        <f>E32+E33</f>
        <v>6.7172054999999977</v>
      </c>
      <c r="F34" s="69">
        <f>F32+F33</f>
        <v>12.319680499999999</v>
      </c>
      <c r="G34" s="69">
        <f>G32+G33</f>
        <v>16.782961749999998</v>
      </c>
    </row>
    <row r="35" spans="1:7" x14ac:dyDescent="0.2">
      <c r="A35" t="s">
        <v>104</v>
      </c>
      <c r="D35" s="73">
        <f>-MAX(0,D34)*$B$8</f>
        <v>-0.39589945999999959</v>
      </c>
      <c r="E35" s="73">
        <f>-MAX(0,E34)*$B$8</f>
        <v>-1.4777852099999995</v>
      </c>
      <c r="F35" s="73">
        <f>-MAX(0,F34)*$B$8</f>
        <v>-2.7103297099999999</v>
      </c>
      <c r="G35" s="73">
        <f>-MAX(0,G34)*$B$8</f>
        <v>-3.6922515849999997</v>
      </c>
    </row>
    <row r="36" spans="1:7" ht="16" thickBot="1" x14ac:dyDescent="0.25">
      <c r="A36" s="58" t="s">
        <v>105</v>
      </c>
      <c r="D36" s="74">
        <f>D34+D35</f>
        <v>1.4036435399999985</v>
      </c>
      <c r="E36" s="74">
        <f>E34+E35</f>
        <v>5.2394202899999982</v>
      </c>
      <c r="F36" s="74">
        <f>F34+F35</f>
        <v>9.6093507899999988</v>
      </c>
      <c r="G36" s="74">
        <f>G34+G35</f>
        <v>13.090710164999999</v>
      </c>
    </row>
    <row r="37" spans="1:7" ht="16" thickTop="1" x14ac:dyDescent="0.2">
      <c r="A37" s="57"/>
    </row>
    <row r="38" spans="1:7" x14ac:dyDescent="0.2">
      <c r="A38" t="s">
        <v>115</v>
      </c>
      <c r="D38" s="78">
        <f>D36/0.3522</f>
        <v>3.9853592844974401</v>
      </c>
      <c r="E38" s="78">
        <f t="shared" ref="E38:G38" si="8">E36/0.3522</f>
        <v>14.876264310051102</v>
      </c>
      <c r="F38" s="78">
        <f t="shared" si="8"/>
        <v>27.283789863713796</v>
      </c>
      <c r="G38" s="78">
        <f t="shared" si="8"/>
        <v>37.168399105621802</v>
      </c>
    </row>
    <row r="39" spans="1:7" x14ac:dyDescent="0.2">
      <c r="A39" t="s">
        <v>116</v>
      </c>
      <c r="B39">
        <v>20</v>
      </c>
      <c r="D39" s="78">
        <f>$B$39*D38</f>
        <v>79.707185689948801</v>
      </c>
      <c r="E39" s="78">
        <f t="shared" ref="E39:G39" si="9">$B$39*E38</f>
        <v>297.52528620102203</v>
      </c>
      <c r="F39" s="78">
        <f t="shared" si="9"/>
        <v>545.67579727427596</v>
      </c>
      <c r="G39" s="78">
        <f t="shared" si="9"/>
        <v>743.36798211243604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Debt Equity</vt:lpstr>
      <vt:lpstr>Depreciation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2026-09-29T19:09:43Z</dcterms:created>
  <dcterms:modified xsi:type="dcterms:W3CDTF">2026-10-11T20:38:22Z</dcterms:modified>
</cp:coreProperties>
</file>